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alajiRaju_hahrytk\Documents\balaji\"/>
    </mc:Choice>
  </mc:AlternateContent>
  <xr:revisionPtr revIDLastSave="0" documentId="13_ncr:1_{18E20AD3-A817-431C-BA50-EE4572F91EC3}" xr6:coauthVersionLast="47" xr6:coauthVersionMax="47" xr10:uidLastSave="{00000000-0000-0000-0000-000000000000}"/>
  <bookViews>
    <workbookView xWindow="-120" yWindow="-120" windowWidth="20730" windowHeight="11040" activeTab="1" xr2:uid="{676C05E7-10AC-4A65-A092-FBCFF1F8FA3C}"/>
  </bookViews>
  <sheets>
    <sheet name="OCT" sheetId="1" r:id="rId1"/>
    <sheet name="Nov" sheetId="2" r:id="rId2"/>
  </sheets>
  <definedNames>
    <definedName name="_xlnm._FilterDatabase" localSheetId="1" hidden="1">Nov!$A$1:$T$71</definedName>
    <definedName name="_xlnm._FilterDatabase" localSheetId="0" hidden="1">OCT!$A$1:$S$79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2" i="2" l="1"/>
  <c r="N79" i="2"/>
  <c r="N78" i="2"/>
  <c r="N77" i="2"/>
  <c r="I77" i="2"/>
  <c r="J77" i="2"/>
  <c r="J80" i="2" s="1"/>
  <c r="J81" i="2" s="1"/>
  <c r="J79" i="2"/>
  <c r="J78" i="2"/>
  <c r="E77" i="2"/>
  <c r="Q12" i="1"/>
  <c r="V7" i="1"/>
  <c r="U7" i="1"/>
  <c r="Q13" i="1"/>
  <c r="O15" i="1"/>
  <c r="O14" i="1"/>
  <c r="O13" i="1"/>
  <c r="O12" i="1"/>
  <c r="O11" i="1"/>
  <c r="N8" i="1"/>
  <c r="O6" i="1"/>
  <c r="O8" i="1" s="1"/>
  <c r="N6" i="1"/>
  <c r="M8" i="1"/>
  <c r="E79" i="1"/>
  <c r="M78" i="2" l="1"/>
  <c r="M77" i="2"/>
  <c r="M80" i="2"/>
  <c r="M79" i="2"/>
</calcChain>
</file>

<file path=xl/sharedStrings.xml><?xml version="1.0" encoding="utf-8"?>
<sst xmlns="http://schemas.openxmlformats.org/spreadsheetml/2006/main" count="386" uniqueCount="118">
  <si>
    <t>Room No</t>
  </si>
  <si>
    <t>Name</t>
  </si>
  <si>
    <t>Date of joining</t>
  </si>
  <si>
    <t>Advance</t>
  </si>
  <si>
    <t>Rent</t>
  </si>
  <si>
    <t>For Oct</t>
  </si>
  <si>
    <t>paid to</t>
  </si>
  <si>
    <t>Hanumanth Reddy</t>
  </si>
  <si>
    <t>Akilesh</t>
  </si>
  <si>
    <t>Pavan</t>
  </si>
  <si>
    <t>Manik rao</t>
  </si>
  <si>
    <t>Chickun</t>
  </si>
  <si>
    <t>Chinmain</t>
  </si>
  <si>
    <t>pasha</t>
  </si>
  <si>
    <t>basava raj</t>
  </si>
  <si>
    <t>vamshi</t>
  </si>
  <si>
    <t>anjineya</t>
  </si>
  <si>
    <t>abishaik</t>
  </si>
  <si>
    <t>ayush</t>
  </si>
  <si>
    <t>praveen</t>
  </si>
  <si>
    <t>rohan</t>
  </si>
  <si>
    <t>Sai</t>
  </si>
  <si>
    <t>swami</t>
  </si>
  <si>
    <t>sonubad</t>
  </si>
  <si>
    <t>nagaiah</t>
  </si>
  <si>
    <t>preetham</t>
  </si>
  <si>
    <t>chandrarao</t>
  </si>
  <si>
    <t>barath</t>
  </si>
  <si>
    <t>swapnil</t>
  </si>
  <si>
    <t>28,1-oct</t>
  </si>
  <si>
    <t>ramu</t>
  </si>
  <si>
    <t>sravan</t>
  </si>
  <si>
    <t>hasha vardhan</t>
  </si>
  <si>
    <t>ramesh</t>
  </si>
  <si>
    <t>hari</t>
  </si>
  <si>
    <t>Afroz khan</t>
  </si>
  <si>
    <t>shubam</t>
  </si>
  <si>
    <t>MD Abdul</t>
  </si>
  <si>
    <t>MD hidya thulla</t>
  </si>
  <si>
    <t>nitish Kumar</t>
  </si>
  <si>
    <t>sai dath</t>
  </si>
  <si>
    <t>pradeep</t>
  </si>
  <si>
    <t>parushuram</t>
  </si>
  <si>
    <t>sreekanth</t>
  </si>
  <si>
    <t>surya chandra</t>
  </si>
  <si>
    <t>dhayanandh</t>
  </si>
  <si>
    <t>Vamsi</t>
  </si>
  <si>
    <t>Rajesh</t>
  </si>
  <si>
    <t>suraj</t>
  </si>
  <si>
    <t>harish</t>
  </si>
  <si>
    <t>sai kiran</t>
  </si>
  <si>
    <t>arun</t>
  </si>
  <si>
    <t>Srinu</t>
  </si>
  <si>
    <t>swasthik</t>
  </si>
  <si>
    <t>kumaraSwami</t>
  </si>
  <si>
    <t>raj Reddy</t>
  </si>
  <si>
    <t>Masthan</t>
  </si>
  <si>
    <t>Yaswant</t>
  </si>
  <si>
    <t>vikram</t>
  </si>
  <si>
    <t>Mayank</t>
  </si>
  <si>
    <t>govindh</t>
  </si>
  <si>
    <t>nagendra Vamshi</t>
  </si>
  <si>
    <t>kumar</t>
  </si>
  <si>
    <t>Venkat Reddy</t>
  </si>
  <si>
    <t>S</t>
  </si>
  <si>
    <t>YET TO COLLECT</t>
  </si>
  <si>
    <t>B</t>
  </si>
  <si>
    <t>R</t>
  </si>
  <si>
    <t>VISHVAKARMA</t>
  </si>
  <si>
    <t>BHAGYESH</t>
  </si>
  <si>
    <t>ESWAR</t>
  </si>
  <si>
    <t>CHARAN</t>
  </si>
  <si>
    <t>NIHAR</t>
  </si>
  <si>
    <t>ANANTH</t>
  </si>
  <si>
    <t>YUGENDHAR</t>
  </si>
  <si>
    <t>SEETHAM NAIDU</t>
  </si>
  <si>
    <t>DURGAPRASAD</t>
  </si>
  <si>
    <t>AFZAL BASH</t>
  </si>
  <si>
    <t>GANESH SURYA</t>
  </si>
  <si>
    <t>KISHORE</t>
  </si>
  <si>
    <t>BALAJI</t>
  </si>
  <si>
    <t>RAVI</t>
  </si>
  <si>
    <t>SUDHARSHAN</t>
  </si>
  <si>
    <t>COLLECTIVE AMOUNT</t>
  </si>
  <si>
    <t>EXPENDITURE</t>
  </si>
  <si>
    <t>LEFT</t>
  </si>
  <si>
    <t>OK</t>
  </si>
  <si>
    <t>CHIKUN</t>
  </si>
  <si>
    <t>CHICKUN</t>
  </si>
  <si>
    <t>surya</t>
  </si>
  <si>
    <t>SURYA</t>
  </si>
  <si>
    <t>CASH</t>
  </si>
  <si>
    <t>received from anna</t>
  </si>
  <si>
    <t>received amount</t>
  </si>
  <si>
    <t>expenditure</t>
  </si>
  <si>
    <t>grocaries</t>
  </si>
  <si>
    <t>porter</t>
  </si>
  <si>
    <t>pending</t>
  </si>
  <si>
    <t>status</t>
  </si>
  <si>
    <t>sudharshan</t>
  </si>
  <si>
    <t>balaji</t>
  </si>
  <si>
    <t>ravi</t>
  </si>
  <si>
    <t>akka</t>
  </si>
  <si>
    <t>8000(11000+8000)</t>
  </si>
  <si>
    <t>Nov</t>
  </si>
  <si>
    <t>Paid to</t>
  </si>
  <si>
    <t>left</t>
  </si>
  <si>
    <t>PENDING</t>
  </si>
  <si>
    <t>Madhusudhan</t>
  </si>
  <si>
    <t>AJAY</t>
  </si>
  <si>
    <t>RAMESH</t>
  </si>
  <si>
    <t>Madhu</t>
  </si>
  <si>
    <t>VENKATESH</t>
  </si>
  <si>
    <t>COLLECTED AMOUNT</t>
  </si>
  <si>
    <t>VINAY</t>
  </si>
  <si>
    <t>TOTAL LEFT</t>
  </si>
  <si>
    <t>SEND TO SOME ONE</t>
  </si>
  <si>
    <t>YET TO 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</si>
</sst>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b/>
      <sz val="11"/>
      <color rgb="FF000000"/>
      <name val="Aptos Narrow"/>
    </font>
    <font>
      <b/>
      <sz val="11"/>
      <color rgb="FF000000"/>
      <name val="Arial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b/>
      <sz val="11"/>
      <color theme="1"/>
      <name val="Aptos Narrow"/>
      <scheme val="minor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16" fontId="6" fillId="0" borderId="1" xfId="0" applyNumberFormat="1" applyFont="1" applyBorder="1"/>
    <xf numFmtId="0" fontId="4" fillId="0" borderId="2" xfId="0" applyFont="1" applyBorder="1"/>
    <xf numFmtId="0" fontId="0" fillId="2" borderId="0" xfId="0" applyFill="1"/>
    <xf numFmtId="0" fontId="4" fillId="2" borderId="1" xfId="0" applyFont="1" applyFill="1" applyBorder="1"/>
    <xf numFmtId="16" fontId="0" fillId="0" borderId="0" xfId="0" applyNumberForma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6" fillId="0" borderId="0" xfId="0" applyFont="1"/>
    <xf numFmtId="0" fontId="5" fillId="0" borderId="0" xfId="0" applyFont="1"/>
    <xf numFmtId="0" fontId="8" fillId="0" borderId="0" xfId="0" applyFont="1"/>
    <xf numFmtId="0" fontId="4" fillId="2" borderId="0" xfId="0" applyFont="1" applyFill="1"/>
    <xf numFmtId="0" fontId="1" fillId="0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6BCD-4FC4-4F20-83A5-C243DEE74121}">
  <dimension ref="A1:V79"/>
  <sheetViews>
    <sheetView topLeftCell="D9" workbookViewId="0">
      <selection activeCell="N12" sqref="N12:O15"/>
    </sheetView>
  </sheetViews>
  <sheetFormatPr defaultRowHeight="15" x14ac:dyDescent="0.25"/>
  <cols>
    <col min="2" max="2" width="17.42578125" bestFit="1" customWidth="1"/>
    <col min="10" max="10" width="14.85546875" bestFit="1" customWidth="1"/>
    <col min="12" max="12" width="19.7109375" bestFit="1" customWidth="1"/>
    <col min="14" max="14" width="11.7109375" bestFit="1" customWidth="1"/>
    <col min="15" max="15" width="13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5" t="s">
        <v>97</v>
      </c>
      <c r="I1" s="15" t="s">
        <v>98</v>
      </c>
    </row>
    <row r="2" spans="1:22" x14ac:dyDescent="0.25">
      <c r="A2" s="4">
        <v>101</v>
      </c>
      <c r="B2" s="4" t="s">
        <v>7</v>
      </c>
      <c r="C2" s="4">
        <v>17</v>
      </c>
      <c r="D2" s="4">
        <v>2000</v>
      </c>
      <c r="E2" s="4">
        <v>6000</v>
      </c>
      <c r="F2" s="4">
        <v>5500</v>
      </c>
      <c r="G2" s="4" t="s">
        <v>64</v>
      </c>
      <c r="H2" s="16"/>
      <c r="I2" s="16"/>
      <c r="M2" t="s">
        <v>80</v>
      </c>
      <c r="N2" t="s">
        <v>81</v>
      </c>
      <c r="O2" t="s">
        <v>82</v>
      </c>
      <c r="Q2" t="s">
        <v>91</v>
      </c>
      <c r="R2">
        <v>72700</v>
      </c>
      <c r="S2">
        <v>27492</v>
      </c>
    </row>
    <row r="3" spans="1:22" x14ac:dyDescent="0.25">
      <c r="A3" s="4">
        <v>101</v>
      </c>
      <c r="B3" s="4" t="s">
        <v>8</v>
      </c>
      <c r="C3" s="4">
        <v>17</v>
      </c>
      <c r="D3" s="4">
        <v>2000</v>
      </c>
      <c r="E3" s="4">
        <v>6000</v>
      </c>
      <c r="F3" s="4">
        <v>5500</v>
      </c>
      <c r="G3" s="4" t="s">
        <v>64</v>
      </c>
      <c r="H3" s="16"/>
      <c r="I3" s="16"/>
      <c r="L3" t="s">
        <v>83</v>
      </c>
      <c r="M3">
        <v>119700</v>
      </c>
      <c r="N3">
        <v>52246</v>
      </c>
      <c r="O3">
        <v>251300</v>
      </c>
      <c r="S3">
        <v>200</v>
      </c>
    </row>
    <row r="4" spans="1:22" x14ac:dyDescent="0.25">
      <c r="A4" s="4">
        <v>101</v>
      </c>
      <c r="B4" s="4" t="s">
        <v>9</v>
      </c>
      <c r="C4" s="4">
        <v>17</v>
      </c>
      <c r="D4" s="4">
        <v>2000</v>
      </c>
      <c r="E4" s="4">
        <v>6000</v>
      </c>
      <c r="F4" s="4">
        <v>5500</v>
      </c>
      <c r="G4" s="4" t="s">
        <v>64</v>
      </c>
      <c r="H4" s="16"/>
      <c r="I4" s="16"/>
      <c r="N4">
        <v>10000</v>
      </c>
      <c r="O4">
        <v>64200</v>
      </c>
      <c r="S4">
        <v>1020</v>
      </c>
    </row>
    <row r="5" spans="1:22" x14ac:dyDescent="0.25">
      <c r="A5" s="4">
        <v>101</v>
      </c>
      <c r="B5" s="4" t="s">
        <v>10</v>
      </c>
      <c r="C5" s="4">
        <v>19</v>
      </c>
      <c r="D5" s="4">
        <v>2000</v>
      </c>
      <c r="E5" s="4">
        <v>6000</v>
      </c>
      <c r="F5" s="5">
        <v>5500</v>
      </c>
      <c r="G5" s="4" t="s">
        <v>64</v>
      </c>
      <c r="H5" s="16"/>
      <c r="I5" s="16"/>
      <c r="S5">
        <v>50</v>
      </c>
    </row>
    <row r="6" spans="1:22" x14ac:dyDescent="0.25">
      <c r="A6" s="4">
        <v>101</v>
      </c>
      <c r="B6" s="6" t="s">
        <v>11</v>
      </c>
      <c r="C6" s="4">
        <v>1</v>
      </c>
      <c r="D6" s="4">
        <v>2000</v>
      </c>
      <c r="E6" s="4">
        <v>5000</v>
      </c>
      <c r="F6" s="4">
        <v>5600</v>
      </c>
      <c r="G6" s="4" t="s">
        <v>64</v>
      </c>
      <c r="H6" s="11">
        <v>3100</v>
      </c>
      <c r="I6" s="16"/>
      <c r="J6" t="s">
        <v>65</v>
      </c>
      <c r="N6">
        <f>SUM(N3:N5)</f>
        <v>62246</v>
      </c>
      <c r="O6">
        <f>SUM(O3:O5)</f>
        <v>315500</v>
      </c>
      <c r="Q6">
        <v>50410</v>
      </c>
      <c r="S6">
        <v>200</v>
      </c>
    </row>
    <row r="7" spans="1:22" x14ac:dyDescent="0.25">
      <c r="A7" s="4">
        <v>101</v>
      </c>
      <c r="B7" s="6" t="s">
        <v>90</v>
      </c>
      <c r="C7" s="4"/>
      <c r="D7" s="4"/>
      <c r="E7" s="4"/>
      <c r="F7" s="4">
        <v>1000</v>
      </c>
      <c r="G7" s="4" t="s">
        <v>67</v>
      </c>
      <c r="H7" s="16"/>
      <c r="I7" s="16"/>
      <c r="L7" t="s">
        <v>84</v>
      </c>
      <c r="M7">
        <v>114800</v>
      </c>
      <c r="N7">
        <v>24282</v>
      </c>
      <c r="O7">
        <v>284176</v>
      </c>
      <c r="Q7">
        <v>23766</v>
      </c>
      <c r="S7">
        <v>270</v>
      </c>
      <c r="U7">
        <f>M7-S10</f>
        <v>50600</v>
      </c>
      <c r="V7">
        <f>U7+Q6+Q7+N7</f>
        <v>149058</v>
      </c>
    </row>
    <row r="8" spans="1:22" x14ac:dyDescent="0.25">
      <c r="A8" s="4">
        <v>101</v>
      </c>
      <c r="B8" s="6" t="s">
        <v>89</v>
      </c>
      <c r="C8" s="4"/>
      <c r="D8" s="4"/>
      <c r="E8" s="4"/>
      <c r="F8" s="4">
        <v>1600</v>
      </c>
      <c r="G8" s="4" t="s">
        <v>64</v>
      </c>
      <c r="H8" s="16"/>
      <c r="I8" s="16"/>
      <c r="L8" t="s">
        <v>85</v>
      </c>
      <c r="M8">
        <f>M3-M7</f>
        <v>4900</v>
      </c>
      <c r="N8">
        <f>N6-N7</f>
        <v>37964</v>
      </c>
      <c r="O8">
        <f>O6-O7</f>
        <v>31324</v>
      </c>
      <c r="Q8">
        <v>200000</v>
      </c>
      <c r="S8">
        <v>500</v>
      </c>
    </row>
    <row r="9" spans="1:22" x14ac:dyDescent="0.25">
      <c r="A9" s="4">
        <v>101</v>
      </c>
      <c r="B9" s="6" t="s">
        <v>12</v>
      </c>
      <c r="C9" s="4">
        <v>1</v>
      </c>
      <c r="D9" s="4">
        <v>2000</v>
      </c>
      <c r="E9" s="4">
        <v>5000</v>
      </c>
      <c r="F9" s="4">
        <v>6200</v>
      </c>
      <c r="G9" s="4" t="s">
        <v>64</v>
      </c>
      <c r="H9" s="11">
        <v>2200</v>
      </c>
      <c r="I9" s="16"/>
      <c r="J9" t="s">
        <v>65</v>
      </c>
      <c r="Q9">
        <v>10000</v>
      </c>
      <c r="S9">
        <v>200</v>
      </c>
    </row>
    <row r="10" spans="1:22" x14ac:dyDescent="0.25">
      <c r="A10" s="4">
        <v>102</v>
      </c>
      <c r="B10" s="4" t="s">
        <v>13</v>
      </c>
      <c r="C10" s="4">
        <v>27</v>
      </c>
      <c r="D10" s="4">
        <v>1000</v>
      </c>
      <c r="E10" s="4">
        <v>6000</v>
      </c>
      <c r="F10" s="4">
        <v>6000</v>
      </c>
      <c r="G10" s="4" t="s">
        <v>67</v>
      </c>
      <c r="H10" s="16"/>
      <c r="I10" s="16"/>
      <c r="S10">
        <v>64200</v>
      </c>
    </row>
    <row r="11" spans="1:22" x14ac:dyDescent="0.25">
      <c r="A11" s="4">
        <v>102</v>
      </c>
      <c r="B11" s="4" t="s">
        <v>14</v>
      </c>
      <c r="C11" s="4">
        <v>1</v>
      </c>
      <c r="D11" s="4">
        <v>1000</v>
      </c>
      <c r="E11" s="4">
        <v>6000</v>
      </c>
      <c r="F11" s="4">
        <v>6000</v>
      </c>
      <c r="G11" s="4" t="s">
        <v>64</v>
      </c>
      <c r="H11" s="16"/>
      <c r="I11" s="16"/>
      <c r="N11">
        <v>74188</v>
      </c>
      <c r="O11">
        <f>N11/100</f>
        <v>741.88</v>
      </c>
      <c r="S11">
        <v>13800</v>
      </c>
    </row>
    <row r="12" spans="1:22" x14ac:dyDescent="0.25">
      <c r="A12" s="4">
        <v>102</v>
      </c>
      <c r="B12" s="4" t="s">
        <v>15</v>
      </c>
      <c r="C12" s="4">
        <v>20</v>
      </c>
      <c r="D12" s="4">
        <v>1000</v>
      </c>
      <c r="E12" s="4">
        <v>6000</v>
      </c>
      <c r="F12" s="4">
        <v>6000</v>
      </c>
      <c r="G12" s="4" t="s">
        <v>64</v>
      </c>
      <c r="H12" s="16"/>
      <c r="I12" s="16"/>
      <c r="N12" t="s">
        <v>99</v>
      </c>
      <c r="O12">
        <f>37*O11</f>
        <v>27449.56</v>
      </c>
      <c r="P12">
        <v>31324</v>
      </c>
      <c r="Q12">
        <f>P12-O12</f>
        <v>3874.4399999999987</v>
      </c>
      <c r="S12">
        <v>480</v>
      </c>
    </row>
    <row r="13" spans="1:22" x14ac:dyDescent="0.25">
      <c r="A13" s="4">
        <v>102</v>
      </c>
      <c r="B13" s="4" t="s">
        <v>16</v>
      </c>
      <c r="C13" s="4">
        <v>27</v>
      </c>
      <c r="D13" s="4">
        <v>1000</v>
      </c>
      <c r="E13" s="4">
        <v>6000</v>
      </c>
      <c r="F13" s="4">
        <v>6000</v>
      </c>
      <c r="G13" s="4" t="s">
        <v>64</v>
      </c>
      <c r="H13" s="16"/>
      <c r="I13" s="16"/>
      <c r="N13" t="s">
        <v>100</v>
      </c>
      <c r="O13">
        <f>24*O11</f>
        <v>17805.12</v>
      </c>
      <c r="P13">
        <v>4900</v>
      </c>
      <c r="Q13">
        <f>O13-P13</f>
        <v>12905.119999999999</v>
      </c>
      <c r="S13">
        <v>842</v>
      </c>
    </row>
    <row r="14" spans="1:22" x14ac:dyDescent="0.25">
      <c r="A14" s="4">
        <v>102</v>
      </c>
      <c r="B14" s="4" t="s">
        <v>17</v>
      </c>
      <c r="C14" s="4">
        <v>31</v>
      </c>
      <c r="D14" s="4">
        <v>2000</v>
      </c>
      <c r="E14" s="4">
        <v>6000</v>
      </c>
      <c r="F14" s="5">
        <v>8000</v>
      </c>
      <c r="G14" s="4" t="s">
        <v>66</v>
      </c>
      <c r="H14" s="16"/>
      <c r="I14" s="16"/>
      <c r="J14" t="s">
        <v>86</v>
      </c>
      <c r="K14" t="s">
        <v>91</v>
      </c>
      <c r="N14" t="s">
        <v>101</v>
      </c>
      <c r="O14">
        <f>24*O11</f>
        <v>17805.12</v>
      </c>
      <c r="S14">
        <v>788</v>
      </c>
    </row>
    <row r="15" spans="1:22" x14ac:dyDescent="0.25">
      <c r="A15" s="4">
        <v>102</v>
      </c>
      <c r="B15" s="4" t="s">
        <v>18</v>
      </c>
      <c r="C15" s="4">
        <v>31</v>
      </c>
      <c r="D15" s="4">
        <v>2000</v>
      </c>
      <c r="E15" s="4">
        <v>6000</v>
      </c>
      <c r="F15" s="4">
        <v>6000</v>
      </c>
      <c r="G15" s="4" t="s">
        <v>64</v>
      </c>
      <c r="H15" s="16"/>
      <c r="I15" s="16"/>
      <c r="N15" t="s">
        <v>102</v>
      </c>
      <c r="O15">
        <f>15*O11</f>
        <v>11128.2</v>
      </c>
      <c r="S15">
        <v>447</v>
      </c>
    </row>
    <row r="16" spans="1:22" x14ac:dyDescent="0.25">
      <c r="A16" s="4">
        <v>102</v>
      </c>
      <c r="B16" s="4" t="s">
        <v>19</v>
      </c>
      <c r="C16" s="4">
        <v>31</v>
      </c>
      <c r="D16" s="4">
        <v>2000</v>
      </c>
      <c r="E16" s="4">
        <v>6000</v>
      </c>
      <c r="F16" s="4">
        <v>6000</v>
      </c>
      <c r="G16" s="4" t="s">
        <v>66</v>
      </c>
      <c r="H16" s="16"/>
      <c r="I16" s="16"/>
      <c r="J16" t="s">
        <v>86</v>
      </c>
      <c r="K16" t="s">
        <v>91</v>
      </c>
      <c r="S16">
        <v>2025</v>
      </c>
    </row>
    <row r="17" spans="1:19" x14ac:dyDescent="0.25">
      <c r="A17" s="4">
        <v>102</v>
      </c>
      <c r="B17" s="4" t="s">
        <v>20</v>
      </c>
      <c r="C17" s="4">
        <v>31</v>
      </c>
      <c r="D17" s="4">
        <v>2000</v>
      </c>
      <c r="E17" s="4">
        <v>6000</v>
      </c>
      <c r="F17" s="4">
        <v>8000</v>
      </c>
      <c r="G17" s="4" t="s">
        <v>66</v>
      </c>
      <c r="H17" s="16"/>
      <c r="I17" s="16"/>
      <c r="J17" t="s">
        <v>86</v>
      </c>
      <c r="K17" t="s">
        <v>91</v>
      </c>
      <c r="S17">
        <v>366</v>
      </c>
    </row>
    <row r="18" spans="1:19" x14ac:dyDescent="0.25">
      <c r="A18" s="4">
        <v>201</v>
      </c>
      <c r="B18" s="4" t="s">
        <v>21</v>
      </c>
      <c r="C18" s="4">
        <v>6</v>
      </c>
      <c r="D18" s="4">
        <v>1000</v>
      </c>
      <c r="E18" s="4">
        <v>6500</v>
      </c>
      <c r="F18" s="4">
        <v>6500</v>
      </c>
      <c r="G18" s="4" t="s">
        <v>64</v>
      </c>
      <c r="H18" s="16"/>
      <c r="I18" s="16"/>
      <c r="S18">
        <v>150</v>
      </c>
    </row>
    <row r="19" spans="1:19" x14ac:dyDescent="0.25">
      <c r="A19" s="4">
        <v>201</v>
      </c>
      <c r="B19" s="4" t="s">
        <v>22</v>
      </c>
      <c r="C19" s="4">
        <v>8</v>
      </c>
      <c r="D19" s="4">
        <v>1000</v>
      </c>
      <c r="E19" s="4">
        <v>6500</v>
      </c>
      <c r="F19" s="4">
        <v>6500</v>
      </c>
      <c r="G19" s="4" t="s">
        <v>64</v>
      </c>
      <c r="H19" s="11">
        <v>3500</v>
      </c>
      <c r="I19" s="16"/>
      <c r="J19" t="s">
        <v>65</v>
      </c>
      <c r="K19">
        <v>3500</v>
      </c>
      <c r="S19">
        <v>1770</v>
      </c>
    </row>
    <row r="20" spans="1:19" x14ac:dyDescent="0.25">
      <c r="A20" s="4">
        <v>201</v>
      </c>
      <c r="B20" s="4" t="s">
        <v>23</v>
      </c>
      <c r="C20" s="4">
        <v>1</v>
      </c>
      <c r="D20" s="4">
        <v>0</v>
      </c>
      <c r="E20" s="4">
        <v>6000</v>
      </c>
      <c r="F20" s="4">
        <v>6000</v>
      </c>
      <c r="G20" s="4" t="s">
        <v>64</v>
      </c>
      <c r="H20" s="16"/>
      <c r="I20" s="16"/>
    </row>
    <row r="21" spans="1:19" x14ac:dyDescent="0.25">
      <c r="A21" s="4">
        <v>201</v>
      </c>
      <c r="B21" s="4" t="s">
        <v>17</v>
      </c>
      <c r="C21" s="4">
        <v>1</v>
      </c>
      <c r="D21" s="4">
        <v>0</v>
      </c>
      <c r="E21" s="4">
        <v>6000</v>
      </c>
      <c r="F21" s="4">
        <v>6000</v>
      </c>
      <c r="G21" s="4" t="s">
        <v>67</v>
      </c>
      <c r="H21" s="16"/>
      <c r="I21" s="16"/>
    </row>
    <row r="22" spans="1:19" x14ac:dyDescent="0.25">
      <c r="A22" s="4"/>
      <c r="B22" s="4" t="s">
        <v>69</v>
      </c>
      <c r="C22" s="4"/>
      <c r="D22" s="4"/>
      <c r="E22" s="4"/>
      <c r="F22" s="4">
        <v>4500</v>
      </c>
      <c r="G22" s="4" t="s">
        <v>67</v>
      </c>
      <c r="H22" s="16"/>
      <c r="I22" s="16"/>
    </row>
    <row r="23" spans="1:19" x14ac:dyDescent="0.25">
      <c r="A23" s="4">
        <v>201</v>
      </c>
      <c r="B23" s="4" t="s">
        <v>69</v>
      </c>
      <c r="C23" s="4">
        <v>12</v>
      </c>
      <c r="D23" s="4">
        <v>2000</v>
      </c>
      <c r="E23" s="4">
        <v>6500</v>
      </c>
      <c r="F23" s="4">
        <v>1000</v>
      </c>
      <c r="G23" s="4" t="s">
        <v>66</v>
      </c>
      <c r="H23" s="16"/>
      <c r="I23" s="16"/>
      <c r="J23" t="s">
        <v>86</v>
      </c>
    </row>
    <row r="24" spans="1:19" x14ac:dyDescent="0.25">
      <c r="A24" s="4">
        <v>201</v>
      </c>
      <c r="B24" s="4" t="s">
        <v>68</v>
      </c>
      <c r="C24" s="4">
        <v>1</v>
      </c>
      <c r="D24" s="4">
        <v>2000</v>
      </c>
      <c r="E24" s="4">
        <v>6000</v>
      </c>
      <c r="F24" s="4">
        <v>5600</v>
      </c>
      <c r="G24" s="4" t="s">
        <v>64</v>
      </c>
      <c r="H24" s="16"/>
      <c r="I24" s="16"/>
    </row>
    <row r="25" spans="1:19" x14ac:dyDescent="0.25">
      <c r="A25" s="4">
        <v>201</v>
      </c>
      <c r="B25" s="4" t="s">
        <v>75</v>
      </c>
      <c r="C25" s="4">
        <v>8</v>
      </c>
      <c r="D25" s="4">
        <v>2000</v>
      </c>
      <c r="E25" s="4">
        <v>6000</v>
      </c>
      <c r="F25" s="4">
        <v>7500</v>
      </c>
      <c r="G25" s="4" t="s">
        <v>66</v>
      </c>
      <c r="H25" s="16"/>
      <c r="I25" s="16"/>
      <c r="J25" t="s">
        <v>86</v>
      </c>
    </row>
    <row r="26" spans="1:19" x14ac:dyDescent="0.25">
      <c r="A26" s="4">
        <v>202</v>
      </c>
      <c r="B26" s="4" t="s">
        <v>24</v>
      </c>
      <c r="C26" s="4">
        <v>15</v>
      </c>
      <c r="D26" s="4">
        <v>1000</v>
      </c>
      <c r="E26" s="4">
        <v>6500</v>
      </c>
      <c r="F26" s="4">
        <v>6500</v>
      </c>
      <c r="G26" s="4" t="s">
        <v>64</v>
      </c>
      <c r="H26" s="16"/>
      <c r="I26" s="16"/>
    </row>
    <row r="27" spans="1:19" x14ac:dyDescent="0.25">
      <c r="A27" s="4">
        <v>202</v>
      </c>
      <c r="B27" s="4" t="s">
        <v>25</v>
      </c>
      <c r="C27" s="4">
        <v>24</v>
      </c>
      <c r="D27" s="4">
        <v>2000</v>
      </c>
      <c r="E27" s="4">
        <v>7500</v>
      </c>
      <c r="F27" s="4">
        <v>7500</v>
      </c>
      <c r="G27" s="4" t="s">
        <v>64</v>
      </c>
      <c r="H27" s="16"/>
      <c r="I27" s="16"/>
    </row>
    <row r="28" spans="1:19" x14ac:dyDescent="0.25">
      <c r="A28" s="4">
        <v>202</v>
      </c>
      <c r="B28" s="4" t="s">
        <v>26</v>
      </c>
      <c r="C28" s="4">
        <v>24</v>
      </c>
      <c r="D28" s="4">
        <v>2000</v>
      </c>
      <c r="E28" s="4">
        <v>7500</v>
      </c>
      <c r="F28" s="4">
        <v>7500</v>
      </c>
      <c r="G28" s="4" t="s">
        <v>64</v>
      </c>
      <c r="H28" s="16"/>
      <c r="I28" s="16"/>
    </row>
    <row r="29" spans="1:19" x14ac:dyDescent="0.25">
      <c r="A29" s="4">
        <v>202</v>
      </c>
      <c r="B29" s="4" t="s">
        <v>27</v>
      </c>
      <c r="C29" s="4">
        <v>25</v>
      </c>
      <c r="D29" s="4">
        <v>1000</v>
      </c>
      <c r="E29" s="4">
        <v>6500</v>
      </c>
      <c r="F29" s="4">
        <v>6500</v>
      </c>
      <c r="G29" s="4" t="s">
        <v>64</v>
      </c>
      <c r="H29" s="16"/>
      <c r="I29" s="16"/>
    </row>
    <row r="30" spans="1:19" x14ac:dyDescent="0.25">
      <c r="A30" s="4">
        <v>202</v>
      </c>
      <c r="B30" s="4" t="s">
        <v>28</v>
      </c>
      <c r="C30" s="4" t="s">
        <v>29</v>
      </c>
      <c r="D30" s="4">
        <v>2000</v>
      </c>
      <c r="E30" s="4">
        <v>6500</v>
      </c>
      <c r="F30" s="4">
        <v>6500</v>
      </c>
      <c r="G30" s="4" t="s">
        <v>66</v>
      </c>
      <c r="H30" s="16"/>
      <c r="I30" s="16"/>
      <c r="J30" t="s">
        <v>86</v>
      </c>
      <c r="K30" t="s">
        <v>91</v>
      </c>
    </row>
    <row r="31" spans="1:19" x14ac:dyDescent="0.25">
      <c r="A31" s="4">
        <v>301</v>
      </c>
      <c r="B31" s="4" t="s">
        <v>30</v>
      </c>
      <c r="C31" s="4">
        <v>1</v>
      </c>
      <c r="D31" s="4">
        <v>1000</v>
      </c>
      <c r="E31" s="4">
        <v>6000</v>
      </c>
      <c r="F31" s="4">
        <v>6000</v>
      </c>
      <c r="G31" s="4" t="s">
        <v>67</v>
      </c>
      <c r="H31" s="16"/>
      <c r="I31" s="16"/>
    </row>
    <row r="32" spans="1:19" x14ac:dyDescent="0.25">
      <c r="A32" s="4">
        <v>301</v>
      </c>
      <c r="B32" s="4" t="s">
        <v>31</v>
      </c>
      <c r="C32" s="4">
        <v>6</v>
      </c>
      <c r="D32" s="4">
        <v>1000</v>
      </c>
      <c r="E32" s="4">
        <v>6000</v>
      </c>
      <c r="F32" s="4">
        <v>6500</v>
      </c>
      <c r="G32" s="4" t="s">
        <v>66</v>
      </c>
      <c r="H32" s="16"/>
      <c r="I32" s="16"/>
      <c r="J32" t="s">
        <v>86</v>
      </c>
      <c r="K32" t="s">
        <v>91</v>
      </c>
    </row>
    <row r="33" spans="1:11" x14ac:dyDescent="0.25">
      <c r="A33" s="4">
        <v>301</v>
      </c>
      <c r="B33" s="4" t="s">
        <v>32</v>
      </c>
      <c r="C33" s="4">
        <v>24</v>
      </c>
      <c r="D33" s="4">
        <v>1000</v>
      </c>
      <c r="E33" s="4">
        <v>6000</v>
      </c>
      <c r="F33" s="4">
        <v>6000</v>
      </c>
      <c r="G33" s="4" t="s">
        <v>64</v>
      </c>
      <c r="H33" s="16"/>
      <c r="I33" s="16"/>
    </row>
    <row r="34" spans="1:11" x14ac:dyDescent="0.25">
      <c r="A34" s="4">
        <v>301</v>
      </c>
      <c r="B34" s="4" t="s">
        <v>33</v>
      </c>
      <c r="C34" s="4">
        <v>20</v>
      </c>
      <c r="D34" s="4">
        <v>0</v>
      </c>
      <c r="E34" s="4">
        <v>6000</v>
      </c>
      <c r="F34" s="4">
        <v>6000</v>
      </c>
      <c r="G34" s="4" t="s">
        <v>64</v>
      </c>
      <c r="H34" s="11">
        <v>3000</v>
      </c>
      <c r="I34" s="16"/>
    </row>
    <row r="35" spans="1:11" x14ac:dyDescent="0.25">
      <c r="A35" s="4">
        <v>301</v>
      </c>
      <c r="B35" s="4" t="s">
        <v>34</v>
      </c>
      <c r="C35" s="4">
        <v>10</v>
      </c>
      <c r="D35" s="4">
        <v>2000</v>
      </c>
      <c r="E35" s="4">
        <v>6500</v>
      </c>
      <c r="F35" s="4">
        <v>6000</v>
      </c>
      <c r="G35" s="4" t="s">
        <v>64</v>
      </c>
      <c r="H35" s="16"/>
      <c r="I35" s="16"/>
    </row>
    <row r="36" spans="1:11" x14ac:dyDescent="0.25">
      <c r="A36" s="4">
        <v>301</v>
      </c>
      <c r="B36" s="4" t="s">
        <v>35</v>
      </c>
      <c r="C36" s="4">
        <v>17</v>
      </c>
      <c r="D36" s="4">
        <v>2000</v>
      </c>
      <c r="E36" s="4">
        <v>6000</v>
      </c>
      <c r="F36" s="4">
        <v>6000</v>
      </c>
      <c r="G36" s="4" t="s">
        <v>64</v>
      </c>
      <c r="H36" s="16"/>
      <c r="I36" s="16"/>
    </row>
    <row r="37" spans="1:11" x14ac:dyDescent="0.25">
      <c r="A37" s="4">
        <v>302</v>
      </c>
      <c r="B37" s="4" t="s">
        <v>36</v>
      </c>
      <c r="C37" s="4">
        <v>11</v>
      </c>
      <c r="D37" s="4">
        <v>0</v>
      </c>
      <c r="E37" s="4">
        <v>6000</v>
      </c>
      <c r="F37" s="4"/>
      <c r="G37" s="4"/>
      <c r="H37" s="16"/>
      <c r="I37" s="16"/>
    </row>
    <row r="38" spans="1:11" x14ac:dyDescent="0.25">
      <c r="A38" s="4">
        <v>302</v>
      </c>
      <c r="B38" s="4" t="s">
        <v>37</v>
      </c>
      <c r="C38" s="4">
        <v>1</v>
      </c>
      <c r="D38" s="4">
        <v>0</v>
      </c>
      <c r="E38" s="4">
        <v>6000</v>
      </c>
      <c r="F38" s="4">
        <v>6000</v>
      </c>
      <c r="G38" s="4" t="s">
        <v>66</v>
      </c>
      <c r="H38" s="16"/>
      <c r="I38" s="16"/>
      <c r="J38" t="s">
        <v>86</v>
      </c>
      <c r="K38" t="s">
        <v>91</v>
      </c>
    </row>
    <row r="39" spans="1:11" x14ac:dyDescent="0.25">
      <c r="A39" s="4">
        <v>302</v>
      </c>
      <c r="B39" s="4" t="s">
        <v>38</v>
      </c>
      <c r="C39" s="4">
        <v>1</v>
      </c>
      <c r="D39" s="4">
        <v>0</v>
      </c>
      <c r="E39" s="4">
        <v>6000</v>
      </c>
      <c r="F39" s="4">
        <v>6000</v>
      </c>
      <c r="G39" s="4" t="s">
        <v>66</v>
      </c>
      <c r="H39" s="16"/>
      <c r="I39" s="16"/>
      <c r="J39" t="s">
        <v>86</v>
      </c>
      <c r="K39" t="s">
        <v>91</v>
      </c>
    </row>
    <row r="40" spans="1:11" x14ac:dyDescent="0.25">
      <c r="A40" s="4">
        <v>302</v>
      </c>
      <c r="B40" s="4" t="s">
        <v>39</v>
      </c>
      <c r="C40" s="4">
        <v>1</v>
      </c>
      <c r="D40" s="4">
        <v>0</v>
      </c>
      <c r="E40" s="4">
        <v>6000</v>
      </c>
      <c r="F40" s="4">
        <v>5500</v>
      </c>
      <c r="G40" s="4" t="s">
        <v>64</v>
      </c>
      <c r="H40" s="16"/>
      <c r="I40" s="16"/>
    </row>
    <row r="41" spans="1:11" x14ac:dyDescent="0.25">
      <c r="A41" s="4">
        <v>302</v>
      </c>
      <c r="B41" s="4" t="s">
        <v>40</v>
      </c>
      <c r="C41" s="4">
        <v>7</v>
      </c>
      <c r="D41" s="4">
        <v>500</v>
      </c>
      <c r="E41" s="4">
        <v>6500</v>
      </c>
      <c r="F41" s="4">
        <v>6500</v>
      </c>
      <c r="G41" s="4" t="s">
        <v>64</v>
      </c>
      <c r="H41" s="16"/>
      <c r="I41" s="16"/>
    </row>
    <row r="42" spans="1:11" x14ac:dyDescent="0.25">
      <c r="A42" s="4">
        <v>302</v>
      </c>
      <c r="B42" s="4" t="s">
        <v>70</v>
      </c>
      <c r="C42" s="4">
        <v>5</v>
      </c>
      <c r="D42" s="4">
        <v>2000</v>
      </c>
      <c r="E42" s="4">
        <v>8000</v>
      </c>
      <c r="F42" s="4">
        <v>8000</v>
      </c>
      <c r="G42" s="4" t="s">
        <v>66</v>
      </c>
      <c r="H42" s="16"/>
      <c r="I42" s="16"/>
      <c r="J42" t="s">
        <v>86</v>
      </c>
      <c r="K42" t="s">
        <v>91</v>
      </c>
    </row>
    <row r="43" spans="1:11" x14ac:dyDescent="0.25">
      <c r="A43" s="4">
        <v>302</v>
      </c>
      <c r="B43" s="4" t="s">
        <v>41</v>
      </c>
      <c r="C43" s="4">
        <v>10</v>
      </c>
      <c r="D43" s="4">
        <v>0</v>
      </c>
      <c r="E43" s="4">
        <v>6000</v>
      </c>
      <c r="F43" s="4">
        <v>5000</v>
      </c>
      <c r="G43" s="4" t="s">
        <v>64</v>
      </c>
      <c r="H43" s="16"/>
      <c r="I43" s="16"/>
    </row>
    <row r="44" spans="1:11" x14ac:dyDescent="0.25">
      <c r="A44" s="4">
        <v>401</v>
      </c>
      <c r="B44" s="4" t="s">
        <v>42</v>
      </c>
      <c r="C44" s="4">
        <v>23</v>
      </c>
      <c r="D44" s="4">
        <v>1000</v>
      </c>
      <c r="E44" s="4">
        <v>6000</v>
      </c>
      <c r="F44" s="4">
        <v>6000</v>
      </c>
      <c r="G44" s="4" t="s">
        <v>64</v>
      </c>
      <c r="H44" s="16"/>
      <c r="I44" s="16"/>
    </row>
    <row r="45" spans="1:11" x14ac:dyDescent="0.25">
      <c r="A45" s="4">
        <v>401</v>
      </c>
      <c r="B45" s="4" t="s">
        <v>43</v>
      </c>
      <c r="C45" s="4">
        <v>15</v>
      </c>
      <c r="D45" s="4">
        <v>1000</v>
      </c>
      <c r="E45" s="4">
        <v>6000</v>
      </c>
      <c r="F45" s="4">
        <v>6000</v>
      </c>
      <c r="G45" s="4" t="s">
        <v>64</v>
      </c>
      <c r="H45" s="16"/>
      <c r="I45" s="16"/>
    </row>
    <row r="46" spans="1:11" x14ac:dyDescent="0.25">
      <c r="A46" s="4">
        <v>401</v>
      </c>
      <c r="B46" s="4" t="s">
        <v>44</v>
      </c>
      <c r="C46" s="4">
        <v>4</v>
      </c>
      <c r="D46" s="4">
        <v>1000</v>
      </c>
      <c r="E46" s="4">
        <v>6000</v>
      </c>
      <c r="F46" s="4">
        <v>6000</v>
      </c>
      <c r="G46" s="4" t="s">
        <v>64</v>
      </c>
      <c r="H46" s="16"/>
      <c r="I46" s="16"/>
    </row>
    <row r="47" spans="1:11" x14ac:dyDescent="0.25">
      <c r="A47" s="4">
        <v>401</v>
      </c>
      <c r="B47" s="4" t="s">
        <v>45</v>
      </c>
      <c r="C47" s="4">
        <v>20</v>
      </c>
      <c r="D47" s="4">
        <v>1000</v>
      </c>
      <c r="E47" s="4">
        <v>6000</v>
      </c>
      <c r="F47" s="4">
        <v>6000</v>
      </c>
      <c r="G47" s="4" t="s">
        <v>67</v>
      </c>
      <c r="H47" s="16"/>
      <c r="I47" s="16"/>
    </row>
    <row r="48" spans="1:11" x14ac:dyDescent="0.25">
      <c r="A48" s="4">
        <v>401</v>
      </c>
      <c r="B48" s="4" t="s">
        <v>71</v>
      </c>
      <c r="C48" s="4">
        <v>17</v>
      </c>
      <c r="D48" s="4">
        <v>2000</v>
      </c>
      <c r="E48" s="4">
        <v>5000</v>
      </c>
      <c r="F48" s="4">
        <v>5000</v>
      </c>
      <c r="G48" s="4" t="s">
        <v>64</v>
      </c>
      <c r="H48" s="16"/>
      <c r="I48" s="16"/>
    </row>
    <row r="49" spans="1:11" x14ac:dyDescent="0.25">
      <c r="A49" s="4">
        <v>401</v>
      </c>
      <c r="B49" s="4" t="s">
        <v>46</v>
      </c>
      <c r="C49" s="4">
        <v>17</v>
      </c>
      <c r="D49" s="4">
        <v>2000</v>
      </c>
      <c r="E49" s="4">
        <v>6500</v>
      </c>
      <c r="F49" s="4">
        <v>5000</v>
      </c>
      <c r="G49" s="4" t="s">
        <v>64</v>
      </c>
      <c r="H49" s="16"/>
      <c r="I49" s="16"/>
    </row>
    <row r="50" spans="1:11" x14ac:dyDescent="0.25">
      <c r="A50" s="4">
        <v>401</v>
      </c>
      <c r="B50" s="4" t="s">
        <v>72</v>
      </c>
      <c r="C50" s="4">
        <v>19</v>
      </c>
      <c r="D50" s="4">
        <v>2000</v>
      </c>
      <c r="E50" s="4">
        <v>6500</v>
      </c>
      <c r="F50" s="4">
        <v>8500</v>
      </c>
      <c r="G50" s="4" t="s">
        <v>64</v>
      </c>
      <c r="H50" s="16"/>
      <c r="I50" s="16"/>
    </row>
    <row r="51" spans="1:11" x14ac:dyDescent="0.25">
      <c r="A51" s="4">
        <v>402</v>
      </c>
      <c r="B51" s="4" t="s">
        <v>47</v>
      </c>
      <c r="C51" s="4">
        <v>20</v>
      </c>
      <c r="D51" s="4">
        <v>1000</v>
      </c>
      <c r="E51" s="4">
        <v>6500</v>
      </c>
      <c r="F51" s="4">
        <v>6000</v>
      </c>
      <c r="G51" s="1" t="s">
        <v>64</v>
      </c>
      <c r="H51" s="17"/>
      <c r="I51" s="17"/>
    </row>
    <row r="52" spans="1:11" x14ac:dyDescent="0.25">
      <c r="A52" s="4">
        <v>402</v>
      </c>
      <c r="B52" s="4" t="s">
        <v>48</v>
      </c>
      <c r="C52" s="4">
        <v>1</v>
      </c>
      <c r="D52" s="4">
        <v>1000</v>
      </c>
      <c r="E52" s="4">
        <v>6000</v>
      </c>
      <c r="F52" s="4">
        <v>6000</v>
      </c>
      <c r="G52" s="1" t="s">
        <v>64</v>
      </c>
      <c r="H52" s="17"/>
      <c r="I52" s="17"/>
    </row>
    <row r="53" spans="1:11" x14ac:dyDescent="0.25">
      <c r="A53" s="4">
        <v>402</v>
      </c>
      <c r="B53" s="4" t="s">
        <v>49</v>
      </c>
      <c r="C53" s="4">
        <v>17</v>
      </c>
      <c r="D53" s="4">
        <v>1000</v>
      </c>
      <c r="E53" s="4">
        <v>6500</v>
      </c>
      <c r="F53" s="4">
        <v>7000</v>
      </c>
      <c r="G53" s="1" t="s">
        <v>64</v>
      </c>
      <c r="H53" s="17"/>
      <c r="I53" s="17"/>
    </row>
    <row r="54" spans="1:11" x14ac:dyDescent="0.25">
      <c r="A54" s="4">
        <v>402</v>
      </c>
      <c r="B54" s="4" t="s">
        <v>50</v>
      </c>
      <c r="C54" s="4">
        <v>1</v>
      </c>
      <c r="D54" s="4">
        <v>2000</v>
      </c>
      <c r="E54" s="4">
        <v>6000</v>
      </c>
      <c r="F54" s="4">
        <v>6000</v>
      </c>
      <c r="G54" s="7" t="s">
        <v>64</v>
      </c>
      <c r="H54" s="18"/>
      <c r="I54" s="18"/>
    </row>
    <row r="55" spans="1:11" x14ac:dyDescent="0.25">
      <c r="A55" s="4">
        <v>402</v>
      </c>
      <c r="B55" s="4" t="s">
        <v>51</v>
      </c>
      <c r="C55" s="4">
        <v>1</v>
      </c>
      <c r="D55" s="4">
        <v>1000</v>
      </c>
      <c r="E55" s="4">
        <v>6000</v>
      </c>
      <c r="F55" s="5">
        <v>4200</v>
      </c>
      <c r="G55" s="5" t="s">
        <v>66</v>
      </c>
      <c r="H55" s="19"/>
      <c r="I55" s="19"/>
      <c r="J55" t="s">
        <v>86</v>
      </c>
      <c r="K55" t="s">
        <v>91</v>
      </c>
    </row>
    <row r="56" spans="1:11" x14ac:dyDescent="0.25">
      <c r="A56" s="4">
        <v>402</v>
      </c>
      <c r="B56" s="4" t="s">
        <v>52</v>
      </c>
      <c r="C56" s="4">
        <v>14</v>
      </c>
      <c r="D56" s="4">
        <v>1000</v>
      </c>
      <c r="E56" s="4">
        <v>6000</v>
      </c>
      <c r="F56" s="4">
        <v>6000</v>
      </c>
      <c r="G56" s="1" t="s">
        <v>67</v>
      </c>
      <c r="H56" s="17"/>
      <c r="I56" s="17"/>
    </row>
    <row r="57" spans="1:11" x14ac:dyDescent="0.25">
      <c r="A57" s="4">
        <v>501</v>
      </c>
      <c r="B57" s="4" t="s">
        <v>53</v>
      </c>
      <c r="C57" s="4">
        <v>1</v>
      </c>
      <c r="D57" s="4">
        <v>1000</v>
      </c>
      <c r="E57" s="4">
        <v>6500</v>
      </c>
      <c r="F57" s="8">
        <v>4146</v>
      </c>
      <c r="G57" s="9" t="s">
        <v>67</v>
      </c>
      <c r="H57" s="20"/>
      <c r="I57" s="20"/>
    </row>
    <row r="58" spans="1:11" x14ac:dyDescent="0.25">
      <c r="A58" s="4">
        <v>501</v>
      </c>
      <c r="B58" s="4" t="s">
        <v>54</v>
      </c>
      <c r="C58" s="4">
        <v>1</v>
      </c>
      <c r="D58" s="4">
        <v>1000</v>
      </c>
      <c r="E58" s="4">
        <v>4500</v>
      </c>
      <c r="F58" s="5">
        <v>4500</v>
      </c>
      <c r="G58" s="5" t="s">
        <v>64</v>
      </c>
      <c r="H58" s="19"/>
      <c r="I58" s="19"/>
    </row>
    <row r="59" spans="1:11" x14ac:dyDescent="0.25">
      <c r="A59" s="4">
        <v>501</v>
      </c>
      <c r="B59" s="4" t="s">
        <v>55</v>
      </c>
      <c r="C59" s="4">
        <v>1</v>
      </c>
      <c r="D59" s="4">
        <v>1000</v>
      </c>
      <c r="E59" s="4">
        <v>6000</v>
      </c>
      <c r="F59" s="4">
        <v>5000</v>
      </c>
      <c r="G59" s="4" t="s">
        <v>67</v>
      </c>
      <c r="H59" s="16"/>
      <c r="I59" s="16"/>
      <c r="J59" t="s">
        <v>86</v>
      </c>
    </row>
    <row r="60" spans="1:11" x14ac:dyDescent="0.25">
      <c r="A60" s="4">
        <v>501</v>
      </c>
      <c r="B60" s="4" t="s">
        <v>56</v>
      </c>
      <c r="C60" s="4">
        <v>6</v>
      </c>
      <c r="D60" s="4">
        <v>1000</v>
      </c>
      <c r="E60" s="4">
        <v>6500</v>
      </c>
      <c r="F60" s="4">
        <v>6500</v>
      </c>
      <c r="G60" s="4" t="s">
        <v>64</v>
      </c>
      <c r="H60" s="16"/>
      <c r="I60" s="16"/>
    </row>
    <row r="61" spans="1:11" x14ac:dyDescent="0.25">
      <c r="A61" s="4">
        <v>501</v>
      </c>
      <c r="B61" s="4" t="s">
        <v>57</v>
      </c>
      <c r="C61" s="4">
        <v>31</v>
      </c>
      <c r="D61" s="4">
        <v>1000</v>
      </c>
      <c r="E61" s="4">
        <v>6000</v>
      </c>
      <c r="F61" s="4">
        <v>6000</v>
      </c>
      <c r="G61" s="4" t="s">
        <v>66</v>
      </c>
      <c r="H61" s="16"/>
      <c r="I61" s="16"/>
      <c r="J61" t="s">
        <v>86</v>
      </c>
      <c r="K61" t="s">
        <v>91</v>
      </c>
    </row>
    <row r="62" spans="1:11" x14ac:dyDescent="0.25">
      <c r="A62" s="4">
        <v>501</v>
      </c>
      <c r="B62" s="4" t="s">
        <v>73</v>
      </c>
      <c r="C62" s="4">
        <v>1</v>
      </c>
      <c r="D62" s="4">
        <v>2000</v>
      </c>
      <c r="E62" s="4">
        <v>6500</v>
      </c>
      <c r="F62" s="4">
        <v>200</v>
      </c>
      <c r="G62" s="4" t="s">
        <v>64</v>
      </c>
      <c r="H62" s="16"/>
      <c r="I62" s="16"/>
    </row>
    <row r="63" spans="1:11" x14ac:dyDescent="0.25">
      <c r="A63" s="4">
        <v>501</v>
      </c>
      <c r="B63" s="4" t="s">
        <v>58</v>
      </c>
      <c r="C63" s="4">
        <v>2</v>
      </c>
      <c r="D63" s="4">
        <v>1000</v>
      </c>
      <c r="E63" s="4">
        <v>6000</v>
      </c>
      <c r="F63" s="5">
        <v>5000</v>
      </c>
      <c r="G63" s="5" t="s">
        <v>66</v>
      </c>
      <c r="H63" s="19"/>
      <c r="I63" s="19"/>
      <c r="J63" t="s">
        <v>86</v>
      </c>
      <c r="K63" t="s">
        <v>91</v>
      </c>
    </row>
    <row r="64" spans="1:11" x14ac:dyDescent="0.25">
      <c r="A64" s="4">
        <v>502</v>
      </c>
      <c r="B64" s="4" t="s">
        <v>59</v>
      </c>
      <c r="C64" s="4">
        <v>1</v>
      </c>
      <c r="D64" s="4">
        <v>1000</v>
      </c>
      <c r="E64" s="4">
        <v>7500</v>
      </c>
      <c r="F64" s="5">
        <v>6500</v>
      </c>
      <c r="G64" s="5" t="s">
        <v>64</v>
      </c>
      <c r="H64" s="19"/>
      <c r="I64" s="19"/>
    </row>
    <row r="65" spans="1:11" x14ac:dyDescent="0.25">
      <c r="A65" s="4">
        <v>502</v>
      </c>
      <c r="B65" s="4" t="s">
        <v>60</v>
      </c>
      <c r="C65" s="4">
        <v>3</v>
      </c>
      <c r="D65" s="4">
        <v>1000</v>
      </c>
      <c r="E65" s="4">
        <v>6500</v>
      </c>
      <c r="F65" s="4">
        <v>6500</v>
      </c>
      <c r="G65" s="4" t="s">
        <v>66</v>
      </c>
      <c r="H65" s="16"/>
      <c r="I65" s="16"/>
      <c r="J65" t="s">
        <v>86</v>
      </c>
    </row>
    <row r="66" spans="1:11" x14ac:dyDescent="0.25">
      <c r="A66" s="4">
        <v>502</v>
      </c>
      <c r="B66" s="4" t="s">
        <v>74</v>
      </c>
      <c r="C66" s="4">
        <v>8</v>
      </c>
      <c r="D66" s="4">
        <v>2000</v>
      </c>
      <c r="E66" s="4">
        <v>6500</v>
      </c>
      <c r="F66" s="5">
        <v>8000</v>
      </c>
      <c r="G66" s="5" t="s">
        <v>66</v>
      </c>
      <c r="H66" s="19"/>
      <c r="I66" s="19"/>
      <c r="J66" t="s">
        <v>86</v>
      </c>
    </row>
    <row r="67" spans="1:11" x14ac:dyDescent="0.25">
      <c r="A67" s="4">
        <v>502</v>
      </c>
      <c r="B67" s="4" t="s">
        <v>61</v>
      </c>
      <c r="C67" s="4">
        <v>1</v>
      </c>
      <c r="D67" s="4">
        <v>1000</v>
      </c>
      <c r="E67" s="4">
        <v>7500</v>
      </c>
      <c r="F67" s="4">
        <v>7000</v>
      </c>
      <c r="G67" s="4" t="s">
        <v>67</v>
      </c>
      <c r="H67" s="16"/>
      <c r="I67" s="16"/>
    </row>
    <row r="68" spans="1:11" s="12" customFormat="1" x14ac:dyDescent="0.25">
      <c r="A68" s="13">
        <v>502</v>
      </c>
      <c r="B68" s="13" t="s">
        <v>62</v>
      </c>
      <c r="C68" s="13">
        <v>28</v>
      </c>
      <c r="D68" s="13">
        <v>2000</v>
      </c>
      <c r="E68" s="13">
        <v>6500</v>
      </c>
      <c r="F68" s="13">
        <v>3400</v>
      </c>
      <c r="G68" s="13" t="s">
        <v>64</v>
      </c>
      <c r="H68" s="21">
        <v>3400</v>
      </c>
      <c r="I68" s="21"/>
      <c r="J68" s="12" t="s">
        <v>65</v>
      </c>
      <c r="K68" s="12">
        <v>3400</v>
      </c>
    </row>
    <row r="69" spans="1:11" x14ac:dyDescent="0.25">
      <c r="A69" s="4">
        <v>602</v>
      </c>
      <c r="B69" s="4" t="s">
        <v>63</v>
      </c>
      <c r="C69" s="10">
        <v>45870</v>
      </c>
      <c r="D69" s="4">
        <v>0</v>
      </c>
      <c r="E69" s="4">
        <v>15000</v>
      </c>
      <c r="F69" s="4">
        <v>15500</v>
      </c>
      <c r="G69" s="4" t="s">
        <v>64</v>
      </c>
      <c r="H69" s="16"/>
      <c r="I69" s="16"/>
    </row>
    <row r="70" spans="1:11" x14ac:dyDescent="0.25">
      <c r="A70" s="4">
        <v>701</v>
      </c>
      <c r="B70" s="4" t="s">
        <v>76</v>
      </c>
      <c r="C70" s="4">
        <v>1</v>
      </c>
      <c r="D70" s="4">
        <v>1000</v>
      </c>
      <c r="E70" s="4">
        <v>6000</v>
      </c>
      <c r="F70" s="4">
        <v>6000</v>
      </c>
      <c r="G70" s="4" t="s">
        <v>66</v>
      </c>
      <c r="H70" s="16"/>
      <c r="I70" s="16"/>
      <c r="J70" t="s">
        <v>86</v>
      </c>
    </row>
    <row r="71" spans="1:11" x14ac:dyDescent="0.25">
      <c r="A71" s="4">
        <v>701</v>
      </c>
      <c r="B71" s="4" t="s">
        <v>77</v>
      </c>
      <c r="C71" s="4">
        <v>1</v>
      </c>
      <c r="D71" s="4">
        <v>1000</v>
      </c>
      <c r="E71" s="4">
        <v>6000</v>
      </c>
      <c r="F71" s="4">
        <v>6000</v>
      </c>
      <c r="G71" s="4" t="s">
        <v>66</v>
      </c>
      <c r="H71" s="16"/>
      <c r="I71" s="16"/>
      <c r="J71" t="s">
        <v>86</v>
      </c>
    </row>
    <row r="72" spans="1:11" x14ac:dyDescent="0.25">
      <c r="A72" s="4">
        <v>701</v>
      </c>
      <c r="B72" s="4" t="s">
        <v>78</v>
      </c>
      <c r="C72" s="4">
        <v>1</v>
      </c>
      <c r="D72" s="4">
        <v>1000</v>
      </c>
      <c r="E72" s="4">
        <v>6000</v>
      </c>
      <c r="F72" s="4">
        <v>6000</v>
      </c>
      <c r="G72" s="4" t="s">
        <v>66</v>
      </c>
      <c r="H72" s="16"/>
      <c r="I72" s="16"/>
      <c r="J72" t="s">
        <v>86</v>
      </c>
    </row>
    <row r="73" spans="1:11" x14ac:dyDescent="0.25">
      <c r="A73" s="4">
        <v>701</v>
      </c>
      <c r="B73" s="4" t="s">
        <v>79</v>
      </c>
      <c r="C73" s="4">
        <v>1</v>
      </c>
      <c r="D73" s="4">
        <v>1000</v>
      </c>
      <c r="E73" s="4">
        <v>6000</v>
      </c>
      <c r="F73" s="4">
        <v>6000</v>
      </c>
      <c r="G73" s="4" t="s">
        <v>66</v>
      </c>
      <c r="H73" s="16"/>
      <c r="I73" s="16"/>
      <c r="J73" t="s">
        <v>86</v>
      </c>
    </row>
    <row r="74" spans="1:11" x14ac:dyDescent="0.25">
      <c r="F74" s="11">
        <v>200</v>
      </c>
      <c r="G74" s="11" t="s">
        <v>64</v>
      </c>
      <c r="H74" s="16"/>
      <c r="I74" s="16"/>
    </row>
    <row r="75" spans="1:11" x14ac:dyDescent="0.25">
      <c r="F75" s="11">
        <v>2000</v>
      </c>
      <c r="G75" s="11" t="s">
        <v>66</v>
      </c>
      <c r="H75" s="16"/>
      <c r="I75" s="16"/>
      <c r="K75" t="s">
        <v>91</v>
      </c>
    </row>
    <row r="76" spans="1:11" x14ac:dyDescent="0.25">
      <c r="B76" t="s">
        <v>87</v>
      </c>
      <c r="F76" s="11">
        <v>500</v>
      </c>
      <c r="G76" s="11" t="s">
        <v>66</v>
      </c>
      <c r="H76" s="16"/>
      <c r="I76" s="16"/>
      <c r="J76" t="s">
        <v>86</v>
      </c>
      <c r="K76" t="s">
        <v>91</v>
      </c>
    </row>
    <row r="77" spans="1:11" x14ac:dyDescent="0.25">
      <c r="B77" t="s">
        <v>88</v>
      </c>
      <c r="F77" s="11">
        <v>100</v>
      </c>
      <c r="G77" s="11" t="s">
        <v>67</v>
      </c>
      <c r="H77" s="16"/>
      <c r="I77" s="16"/>
    </row>
    <row r="78" spans="1:11" x14ac:dyDescent="0.25">
      <c r="F78" s="11">
        <v>500</v>
      </c>
      <c r="G78" s="11" t="s">
        <v>67</v>
      </c>
      <c r="H78" s="16"/>
      <c r="I78" s="16"/>
    </row>
    <row r="79" spans="1:11" x14ac:dyDescent="0.25">
      <c r="E79" s="12">
        <f>SUM(F2:F78)</f>
        <v>423246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7A94-53C2-4950-892B-9CE5E90055AC}">
  <sheetPr filterMode="1"/>
  <dimension ref="A1:T81"/>
  <sheetViews>
    <sheetView tabSelected="1" topLeftCell="A68" workbookViewId="0">
      <selection activeCell="O81" sqref="O81"/>
    </sheetView>
  </sheetViews>
  <sheetFormatPr defaultRowHeight="15" x14ac:dyDescent="0.25"/>
  <cols>
    <col min="2" max="2" width="17.42578125" bestFit="1" customWidth="1"/>
    <col min="8" max="8" width="19.28515625" bestFit="1" customWidth="1"/>
    <col min="9" max="9" width="13.140625" bestFit="1" customWidth="1"/>
    <col min="12" max="12" width="18.140625" bestFit="1" customWidth="1"/>
    <col min="13" max="13" width="16.5703125" bestFit="1" customWidth="1"/>
    <col min="17" max="17" width="11.28515625" bestFit="1" customWidth="1"/>
    <col min="18" max="18" width="7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104</v>
      </c>
      <c r="G1" s="22" t="s">
        <v>105</v>
      </c>
      <c r="L1" t="s">
        <v>93</v>
      </c>
      <c r="Q1" t="s">
        <v>94</v>
      </c>
    </row>
    <row r="2" spans="1:20" hidden="1" x14ac:dyDescent="0.25">
      <c r="A2" s="4">
        <v>101</v>
      </c>
      <c r="B2" s="4" t="s">
        <v>7</v>
      </c>
      <c r="C2" s="4">
        <v>17</v>
      </c>
      <c r="D2" s="4">
        <v>2000</v>
      </c>
      <c r="E2" s="4">
        <v>6000</v>
      </c>
      <c r="F2" s="23">
        <v>6000</v>
      </c>
      <c r="G2" t="s">
        <v>66</v>
      </c>
      <c r="K2">
        <v>1</v>
      </c>
      <c r="L2" t="s">
        <v>92</v>
      </c>
      <c r="M2" t="s">
        <v>103</v>
      </c>
      <c r="N2" s="14">
        <v>45962</v>
      </c>
      <c r="P2">
        <v>1</v>
      </c>
      <c r="Q2">
        <v>26310</v>
      </c>
      <c r="R2" s="14">
        <v>45962</v>
      </c>
      <c r="S2" t="s">
        <v>95</v>
      </c>
      <c r="T2">
        <v>7310</v>
      </c>
    </row>
    <row r="3" spans="1:20" x14ac:dyDescent="0.25">
      <c r="A3" s="4">
        <v>101</v>
      </c>
      <c r="B3" s="4" t="s">
        <v>8</v>
      </c>
      <c r="C3" s="4">
        <v>17</v>
      </c>
      <c r="D3" s="4">
        <v>2000</v>
      </c>
      <c r="E3" s="4">
        <v>6000</v>
      </c>
      <c r="F3" s="23">
        <v>6000</v>
      </c>
      <c r="G3" t="s">
        <v>64</v>
      </c>
      <c r="P3">
        <v>2</v>
      </c>
      <c r="Q3">
        <v>430</v>
      </c>
      <c r="R3" s="14">
        <v>45962</v>
      </c>
      <c r="S3" t="s">
        <v>96</v>
      </c>
      <c r="T3">
        <v>430</v>
      </c>
    </row>
    <row r="4" spans="1:20" x14ac:dyDescent="0.25">
      <c r="A4" s="4">
        <v>101</v>
      </c>
      <c r="B4" s="4" t="s">
        <v>9</v>
      </c>
      <c r="C4" s="4">
        <v>17</v>
      </c>
      <c r="D4" s="4">
        <v>2000</v>
      </c>
      <c r="E4" s="4">
        <v>6000</v>
      </c>
      <c r="F4" s="23">
        <v>6000</v>
      </c>
      <c r="G4" t="s">
        <v>64</v>
      </c>
      <c r="P4">
        <v>3</v>
      </c>
      <c r="Q4">
        <v>1000</v>
      </c>
      <c r="T4">
        <v>1000</v>
      </c>
    </row>
    <row r="5" spans="1:20" x14ac:dyDescent="0.25">
      <c r="A5" s="4">
        <v>101</v>
      </c>
      <c r="B5" s="4" t="s">
        <v>10</v>
      </c>
      <c r="C5" s="4">
        <v>19</v>
      </c>
      <c r="D5" s="4">
        <v>2000</v>
      </c>
      <c r="E5" s="4">
        <v>6000</v>
      </c>
      <c r="F5" s="23">
        <v>6000</v>
      </c>
      <c r="G5" t="s">
        <v>64</v>
      </c>
      <c r="P5">
        <v>4</v>
      </c>
      <c r="Q5">
        <v>50</v>
      </c>
      <c r="T5">
        <v>50</v>
      </c>
    </row>
    <row r="6" spans="1:20" x14ac:dyDescent="0.25">
      <c r="A6" s="4">
        <v>101</v>
      </c>
      <c r="B6" s="6" t="s">
        <v>11</v>
      </c>
      <c r="C6" s="4">
        <v>1</v>
      </c>
      <c r="D6" s="4">
        <v>2000</v>
      </c>
      <c r="E6" s="4">
        <v>5000</v>
      </c>
      <c r="F6" s="23">
        <v>5000</v>
      </c>
      <c r="G6" t="s">
        <v>64</v>
      </c>
    </row>
    <row r="7" spans="1:20" x14ac:dyDescent="0.25">
      <c r="A7" s="4">
        <v>102</v>
      </c>
      <c r="B7" s="4" t="s">
        <v>13</v>
      </c>
      <c r="C7" s="4">
        <v>27</v>
      </c>
      <c r="D7" s="4">
        <v>1000</v>
      </c>
      <c r="E7" s="4">
        <v>6000</v>
      </c>
      <c r="F7" s="23">
        <v>6000</v>
      </c>
      <c r="G7" t="s">
        <v>64</v>
      </c>
    </row>
    <row r="8" spans="1:20" hidden="1" x14ac:dyDescent="0.25">
      <c r="A8" s="4">
        <v>102</v>
      </c>
      <c r="B8" s="4" t="s">
        <v>14</v>
      </c>
      <c r="C8" s="4">
        <v>1</v>
      </c>
      <c r="D8" s="4">
        <v>1000</v>
      </c>
      <c r="E8" s="4">
        <v>6000</v>
      </c>
      <c r="F8" s="23">
        <v>6000</v>
      </c>
      <c r="G8" t="s">
        <v>67</v>
      </c>
    </row>
    <row r="9" spans="1:20" x14ac:dyDescent="0.25">
      <c r="A9" s="4">
        <v>102</v>
      </c>
      <c r="B9" s="4" t="s">
        <v>15</v>
      </c>
      <c r="C9" s="4">
        <v>20</v>
      </c>
      <c r="D9" s="4">
        <v>1000</v>
      </c>
      <c r="E9" s="4">
        <v>6000</v>
      </c>
      <c r="F9" s="23">
        <v>6000</v>
      </c>
      <c r="G9" t="s">
        <v>64</v>
      </c>
    </row>
    <row r="10" spans="1:20" x14ac:dyDescent="0.25">
      <c r="A10" s="4">
        <v>102</v>
      </c>
      <c r="B10" s="4" t="s">
        <v>16</v>
      </c>
      <c r="C10" s="4">
        <v>27</v>
      </c>
      <c r="D10" s="4">
        <v>1000</v>
      </c>
      <c r="E10" s="4">
        <v>6000</v>
      </c>
      <c r="F10" s="24">
        <v>6000</v>
      </c>
      <c r="G10" t="s">
        <v>64</v>
      </c>
    </row>
    <row r="11" spans="1:20" hidden="1" x14ac:dyDescent="0.25">
      <c r="A11" s="4">
        <v>102</v>
      </c>
      <c r="B11" s="4" t="s">
        <v>17</v>
      </c>
      <c r="C11" s="4">
        <v>31</v>
      </c>
      <c r="D11" s="4">
        <v>2000</v>
      </c>
      <c r="E11" s="4">
        <v>6000</v>
      </c>
      <c r="H11" t="s">
        <v>106</v>
      </c>
    </row>
    <row r="12" spans="1:20" hidden="1" x14ac:dyDescent="0.25">
      <c r="A12" s="4">
        <v>102</v>
      </c>
      <c r="B12" s="4" t="s">
        <v>18</v>
      </c>
      <c r="C12" s="4">
        <v>31</v>
      </c>
      <c r="D12" s="4">
        <v>2000</v>
      </c>
      <c r="E12" s="4">
        <v>6000</v>
      </c>
      <c r="H12" t="s">
        <v>85</v>
      </c>
    </row>
    <row r="13" spans="1:20" hidden="1" x14ac:dyDescent="0.25">
      <c r="A13" s="4">
        <v>102</v>
      </c>
      <c r="B13" s="4" t="s">
        <v>19</v>
      </c>
      <c r="C13" s="4">
        <v>31</v>
      </c>
      <c r="D13" s="4">
        <v>2000</v>
      </c>
      <c r="E13" s="4">
        <v>6000</v>
      </c>
      <c r="H13" t="s">
        <v>85</v>
      </c>
    </row>
    <row r="14" spans="1:20" x14ac:dyDescent="0.25">
      <c r="A14" s="4">
        <v>102</v>
      </c>
      <c r="B14" s="4" t="s">
        <v>20</v>
      </c>
      <c r="C14" s="4">
        <v>31</v>
      </c>
      <c r="D14" s="4">
        <v>2000</v>
      </c>
      <c r="E14" s="4">
        <v>6000</v>
      </c>
      <c r="F14" s="23">
        <v>6000</v>
      </c>
      <c r="G14" t="s">
        <v>64</v>
      </c>
    </row>
    <row r="15" spans="1:20" x14ac:dyDescent="0.25">
      <c r="A15" s="4">
        <v>102</v>
      </c>
      <c r="B15" s="4" t="s">
        <v>36</v>
      </c>
      <c r="C15" s="4">
        <v>17</v>
      </c>
      <c r="D15" s="4">
        <v>2000</v>
      </c>
      <c r="E15" s="4"/>
      <c r="F15" s="23">
        <v>2000</v>
      </c>
      <c r="G15" t="s">
        <v>64</v>
      </c>
      <c r="H15" t="s">
        <v>107</v>
      </c>
    </row>
    <row r="16" spans="1:20" x14ac:dyDescent="0.25">
      <c r="A16" s="4">
        <v>201</v>
      </c>
      <c r="B16" s="4" t="s">
        <v>21</v>
      </c>
      <c r="C16" s="4">
        <v>6</v>
      </c>
      <c r="D16" s="4">
        <v>1000</v>
      </c>
      <c r="E16" s="4">
        <v>6500</v>
      </c>
      <c r="F16" s="23">
        <v>6500</v>
      </c>
      <c r="G16" t="s">
        <v>64</v>
      </c>
    </row>
    <row r="17" spans="1:8" hidden="1" x14ac:dyDescent="0.25">
      <c r="A17" s="4">
        <v>201</v>
      </c>
      <c r="B17" s="4" t="s">
        <v>22</v>
      </c>
      <c r="C17" s="4">
        <v>8</v>
      </c>
      <c r="D17" s="4">
        <v>1000</v>
      </c>
      <c r="E17" s="4">
        <v>6500</v>
      </c>
      <c r="F17" s="24">
        <v>6500</v>
      </c>
      <c r="G17" t="s">
        <v>66</v>
      </c>
    </row>
    <row r="18" spans="1:8" x14ac:dyDescent="0.25">
      <c r="A18" s="4">
        <v>201</v>
      </c>
      <c r="B18" s="4" t="s">
        <v>23</v>
      </c>
      <c r="C18" s="4">
        <v>1</v>
      </c>
      <c r="D18" s="4">
        <v>0</v>
      </c>
      <c r="E18" s="4">
        <v>6000</v>
      </c>
      <c r="F18" s="24">
        <v>6000</v>
      </c>
      <c r="G18" t="s">
        <v>64</v>
      </c>
    </row>
    <row r="19" spans="1:8" x14ac:dyDescent="0.25">
      <c r="A19" s="4">
        <v>201</v>
      </c>
      <c r="B19" s="4" t="s">
        <v>17</v>
      </c>
      <c r="C19" s="4">
        <v>1</v>
      </c>
      <c r="D19" s="4">
        <v>0</v>
      </c>
      <c r="E19" s="4">
        <v>6000</v>
      </c>
      <c r="F19" s="24">
        <v>6000</v>
      </c>
      <c r="G19" t="s">
        <v>64</v>
      </c>
    </row>
    <row r="20" spans="1:8" x14ac:dyDescent="0.25">
      <c r="A20" s="4">
        <v>201</v>
      </c>
      <c r="B20" s="4" t="s">
        <v>69</v>
      </c>
      <c r="C20" s="4">
        <v>12</v>
      </c>
      <c r="D20" s="4">
        <v>2000</v>
      </c>
      <c r="E20" s="4">
        <v>6500</v>
      </c>
      <c r="F20" s="24">
        <v>7000</v>
      </c>
      <c r="G20" t="s">
        <v>64</v>
      </c>
    </row>
    <row r="21" spans="1:8" x14ac:dyDescent="0.25">
      <c r="A21" s="4">
        <v>201</v>
      </c>
      <c r="B21" s="4" t="s">
        <v>68</v>
      </c>
      <c r="C21" s="4">
        <v>1</v>
      </c>
      <c r="D21" s="4">
        <v>2000</v>
      </c>
      <c r="E21" s="4">
        <v>6000</v>
      </c>
      <c r="F21" s="24">
        <v>2800</v>
      </c>
      <c r="G21" t="s">
        <v>64</v>
      </c>
      <c r="H21" t="s">
        <v>107</v>
      </c>
    </row>
    <row r="22" spans="1:8" x14ac:dyDescent="0.25">
      <c r="A22" s="4">
        <v>201</v>
      </c>
      <c r="B22" s="4" t="s">
        <v>112</v>
      </c>
      <c r="C22" s="4">
        <v>10</v>
      </c>
      <c r="D22" s="4">
        <v>2000</v>
      </c>
      <c r="E22" s="4">
        <v>5500</v>
      </c>
      <c r="F22" s="23">
        <v>7500</v>
      </c>
      <c r="G22" t="s">
        <v>64</v>
      </c>
    </row>
    <row r="23" spans="1:8" hidden="1" x14ac:dyDescent="0.25">
      <c r="A23" s="4">
        <v>202</v>
      </c>
      <c r="B23" s="4" t="s">
        <v>24</v>
      </c>
      <c r="C23" s="4">
        <v>15</v>
      </c>
      <c r="D23" s="4">
        <v>1000</v>
      </c>
      <c r="E23" s="4">
        <v>6500</v>
      </c>
      <c r="F23" s="23">
        <v>6500</v>
      </c>
      <c r="G23" t="s">
        <v>67</v>
      </c>
    </row>
    <row r="24" spans="1:8" x14ac:dyDescent="0.25">
      <c r="A24" s="4">
        <v>202</v>
      </c>
      <c r="B24" s="4" t="s">
        <v>25</v>
      </c>
      <c r="C24" s="4">
        <v>24</v>
      </c>
      <c r="D24" s="4">
        <v>2000</v>
      </c>
      <c r="E24" s="4">
        <v>7500</v>
      </c>
      <c r="F24" s="24">
        <v>7500</v>
      </c>
      <c r="G24" t="s">
        <v>64</v>
      </c>
    </row>
    <row r="25" spans="1:8" x14ac:dyDescent="0.25">
      <c r="A25" s="4">
        <v>202</v>
      </c>
      <c r="B25" s="4" t="s">
        <v>26</v>
      </c>
      <c r="C25" s="4">
        <v>24</v>
      </c>
      <c r="D25" s="4">
        <v>2000</v>
      </c>
      <c r="E25" s="4">
        <v>7500</v>
      </c>
      <c r="F25" s="24">
        <v>7500</v>
      </c>
      <c r="G25" t="s">
        <v>64</v>
      </c>
    </row>
    <row r="26" spans="1:8" x14ac:dyDescent="0.25">
      <c r="A26" s="4">
        <v>202</v>
      </c>
      <c r="B26" s="4" t="s">
        <v>27</v>
      </c>
      <c r="C26" s="4">
        <v>25</v>
      </c>
      <c r="D26" s="4">
        <v>1000</v>
      </c>
      <c r="E26" s="4">
        <v>6500</v>
      </c>
      <c r="F26" s="24">
        <v>6500</v>
      </c>
      <c r="G26" t="s">
        <v>64</v>
      </c>
    </row>
    <row r="27" spans="1:8" x14ac:dyDescent="0.25">
      <c r="A27" s="4">
        <v>202</v>
      </c>
      <c r="B27" s="4" t="s">
        <v>28</v>
      </c>
      <c r="C27" s="4" t="s">
        <v>29</v>
      </c>
      <c r="D27" s="4">
        <v>2000</v>
      </c>
      <c r="E27" s="4">
        <v>6500</v>
      </c>
      <c r="F27" s="24">
        <v>6500</v>
      </c>
      <c r="G27" t="s">
        <v>64</v>
      </c>
    </row>
    <row r="28" spans="1:8" x14ac:dyDescent="0.25">
      <c r="A28" s="4">
        <v>301</v>
      </c>
      <c r="B28" s="4" t="s">
        <v>30</v>
      </c>
      <c r="C28" s="4">
        <v>1</v>
      </c>
      <c r="D28" s="4">
        <v>1000</v>
      </c>
      <c r="E28" s="4">
        <v>6000</v>
      </c>
      <c r="F28" s="24">
        <v>6000</v>
      </c>
      <c r="G28" t="s">
        <v>64</v>
      </c>
    </row>
    <row r="29" spans="1:8" hidden="1" x14ac:dyDescent="0.25">
      <c r="A29" s="4">
        <v>301</v>
      </c>
      <c r="B29" s="4" t="s">
        <v>31</v>
      </c>
      <c r="C29" s="4">
        <v>6</v>
      </c>
      <c r="D29" s="4">
        <v>1000</v>
      </c>
      <c r="E29" s="4">
        <v>6000</v>
      </c>
      <c r="F29" s="24">
        <v>6500</v>
      </c>
      <c r="G29" t="s">
        <v>67</v>
      </c>
    </row>
    <row r="30" spans="1:8" x14ac:dyDescent="0.25">
      <c r="A30" s="4">
        <v>301</v>
      </c>
      <c r="B30" s="4" t="s">
        <v>32</v>
      </c>
      <c r="C30" s="4">
        <v>24</v>
      </c>
      <c r="D30" s="4">
        <v>1000</v>
      </c>
      <c r="E30" s="4">
        <v>6000</v>
      </c>
      <c r="F30" s="24">
        <v>5000</v>
      </c>
      <c r="G30" t="s">
        <v>64</v>
      </c>
    </row>
    <row r="31" spans="1:8" x14ac:dyDescent="0.25">
      <c r="A31" s="4">
        <v>301</v>
      </c>
      <c r="B31" s="4" t="s">
        <v>33</v>
      </c>
      <c r="C31" s="4">
        <v>20</v>
      </c>
      <c r="D31" s="4">
        <v>0</v>
      </c>
      <c r="E31" s="4">
        <v>6000</v>
      </c>
      <c r="F31" s="24">
        <v>6000</v>
      </c>
      <c r="G31" t="s">
        <v>64</v>
      </c>
    </row>
    <row r="32" spans="1:8" x14ac:dyDescent="0.25">
      <c r="A32" s="4">
        <v>301</v>
      </c>
      <c r="B32" s="4" t="s">
        <v>34</v>
      </c>
      <c r="C32" s="4">
        <v>10</v>
      </c>
      <c r="D32" s="4">
        <v>2000</v>
      </c>
      <c r="E32" s="4">
        <v>6500</v>
      </c>
      <c r="F32" s="24">
        <v>5500</v>
      </c>
      <c r="G32" t="s">
        <v>64</v>
      </c>
    </row>
    <row r="33" spans="1:8" hidden="1" x14ac:dyDescent="0.25">
      <c r="A33" s="4">
        <v>301</v>
      </c>
      <c r="B33" s="4" t="s">
        <v>109</v>
      </c>
      <c r="C33" s="4">
        <v>7</v>
      </c>
      <c r="D33" s="4">
        <v>2000</v>
      </c>
      <c r="E33" s="4">
        <v>6000</v>
      </c>
      <c r="F33" s="24">
        <v>8000</v>
      </c>
      <c r="G33" t="s">
        <v>67</v>
      </c>
    </row>
    <row r="34" spans="1:8" x14ac:dyDescent="0.25">
      <c r="A34" s="4">
        <v>302</v>
      </c>
      <c r="B34" s="4" t="s">
        <v>37</v>
      </c>
      <c r="C34" s="4">
        <v>1</v>
      </c>
      <c r="D34" s="4">
        <v>0</v>
      </c>
      <c r="E34" s="4">
        <v>6000</v>
      </c>
      <c r="F34" s="24">
        <v>6000</v>
      </c>
      <c r="G34" t="s">
        <v>64</v>
      </c>
    </row>
    <row r="35" spans="1:8" x14ac:dyDescent="0.25">
      <c r="A35" s="4">
        <v>302</v>
      </c>
      <c r="B35" s="4" t="s">
        <v>38</v>
      </c>
      <c r="C35" s="4">
        <v>1</v>
      </c>
      <c r="D35" s="4">
        <v>0</v>
      </c>
      <c r="E35" s="4">
        <v>6000</v>
      </c>
      <c r="F35" s="24">
        <v>6000</v>
      </c>
      <c r="G35" t="s">
        <v>64</v>
      </c>
    </row>
    <row r="36" spans="1:8" x14ac:dyDescent="0.25">
      <c r="A36" s="4">
        <v>302</v>
      </c>
      <c r="B36" s="4" t="s">
        <v>39</v>
      </c>
      <c r="C36" s="4">
        <v>1</v>
      </c>
      <c r="D36" s="4">
        <v>0</v>
      </c>
      <c r="E36" s="4">
        <v>6000</v>
      </c>
      <c r="F36" s="24">
        <v>2000</v>
      </c>
      <c r="G36" t="s">
        <v>64</v>
      </c>
      <c r="H36" t="s">
        <v>106</v>
      </c>
    </row>
    <row r="37" spans="1:8" x14ac:dyDescent="0.25">
      <c r="A37" s="4">
        <v>302</v>
      </c>
      <c r="B37" s="4" t="s">
        <v>70</v>
      </c>
      <c r="C37" s="4">
        <v>5</v>
      </c>
      <c r="D37" s="4">
        <v>2000</v>
      </c>
      <c r="E37" s="4">
        <v>8000</v>
      </c>
      <c r="F37" s="24">
        <v>6000</v>
      </c>
      <c r="G37" t="s">
        <v>64</v>
      </c>
    </row>
    <row r="38" spans="1:8" x14ac:dyDescent="0.25">
      <c r="A38" s="4">
        <v>302</v>
      </c>
      <c r="B38" s="4" t="s">
        <v>108</v>
      </c>
      <c r="C38" s="4">
        <v>6</v>
      </c>
      <c r="D38" s="4">
        <v>2000</v>
      </c>
      <c r="E38" s="4">
        <v>6000</v>
      </c>
      <c r="F38" s="23">
        <v>6000</v>
      </c>
      <c r="G38" t="s">
        <v>64</v>
      </c>
    </row>
    <row r="39" spans="1:8" x14ac:dyDescent="0.25">
      <c r="A39" s="4">
        <v>302</v>
      </c>
      <c r="B39" s="4" t="s">
        <v>110</v>
      </c>
      <c r="C39" s="4"/>
      <c r="D39" s="4"/>
      <c r="E39" s="4"/>
      <c r="F39" s="24">
        <v>4250</v>
      </c>
      <c r="G39" t="s">
        <v>64</v>
      </c>
    </row>
    <row r="40" spans="1:8" x14ac:dyDescent="0.25">
      <c r="A40" s="4">
        <v>302</v>
      </c>
      <c r="B40" s="4" t="s">
        <v>41</v>
      </c>
      <c r="C40" s="4">
        <v>10</v>
      </c>
      <c r="D40" s="4">
        <v>0</v>
      </c>
      <c r="E40" s="4">
        <v>6000</v>
      </c>
      <c r="F40" s="24">
        <v>4000</v>
      </c>
      <c r="G40" t="s">
        <v>64</v>
      </c>
      <c r="H40" t="s">
        <v>107</v>
      </c>
    </row>
    <row r="41" spans="1:8" x14ac:dyDescent="0.25">
      <c r="A41" s="4">
        <v>401</v>
      </c>
      <c r="B41" s="4" t="s">
        <v>42</v>
      </c>
      <c r="C41" s="4">
        <v>23</v>
      </c>
      <c r="D41" s="4">
        <v>1000</v>
      </c>
      <c r="E41" s="4">
        <v>6000</v>
      </c>
      <c r="F41" s="24">
        <v>6000</v>
      </c>
      <c r="G41" t="s">
        <v>64</v>
      </c>
    </row>
    <row r="42" spans="1:8" x14ac:dyDescent="0.25">
      <c r="A42" s="4">
        <v>401</v>
      </c>
      <c r="B42" s="4" t="s">
        <v>43</v>
      </c>
      <c r="C42" s="4">
        <v>15</v>
      </c>
      <c r="D42" s="4">
        <v>1000</v>
      </c>
      <c r="E42" s="4">
        <v>6000</v>
      </c>
      <c r="F42" s="24">
        <v>6000</v>
      </c>
      <c r="G42" t="s">
        <v>64</v>
      </c>
    </row>
    <row r="43" spans="1:8" hidden="1" x14ac:dyDescent="0.25">
      <c r="A43" s="4">
        <v>401</v>
      </c>
      <c r="B43" s="4" t="s">
        <v>45</v>
      </c>
      <c r="C43" s="4">
        <v>20</v>
      </c>
      <c r="D43" s="4">
        <v>1000</v>
      </c>
      <c r="E43" s="4">
        <v>6000</v>
      </c>
      <c r="F43" s="24">
        <v>6000</v>
      </c>
      <c r="G43" t="s">
        <v>67</v>
      </c>
    </row>
    <row r="44" spans="1:8" x14ac:dyDescent="0.25">
      <c r="A44" s="4">
        <v>401</v>
      </c>
      <c r="B44" s="4" t="s">
        <v>71</v>
      </c>
      <c r="C44" s="4">
        <v>17</v>
      </c>
      <c r="D44" s="4">
        <v>2000</v>
      </c>
      <c r="E44" s="4">
        <v>5000</v>
      </c>
      <c r="F44" s="24">
        <v>5000</v>
      </c>
      <c r="G44" t="s">
        <v>64</v>
      </c>
    </row>
    <row r="45" spans="1:8" x14ac:dyDescent="0.25">
      <c r="A45" s="4">
        <v>401</v>
      </c>
      <c r="B45" s="4" t="s">
        <v>46</v>
      </c>
      <c r="C45" s="4">
        <v>17</v>
      </c>
      <c r="D45" s="4">
        <v>2000</v>
      </c>
      <c r="E45" s="4">
        <v>6500</v>
      </c>
      <c r="F45" s="24">
        <v>5000</v>
      </c>
      <c r="G45" t="s">
        <v>64</v>
      </c>
    </row>
    <row r="46" spans="1:8" x14ac:dyDescent="0.25">
      <c r="A46" s="4">
        <v>401</v>
      </c>
      <c r="B46" s="4" t="s">
        <v>72</v>
      </c>
      <c r="C46" s="4">
        <v>19</v>
      </c>
      <c r="D46" s="4">
        <v>2000</v>
      </c>
      <c r="E46" s="4">
        <v>6500</v>
      </c>
      <c r="F46" s="24">
        <v>6500</v>
      </c>
      <c r="G46" t="s">
        <v>64</v>
      </c>
    </row>
    <row r="47" spans="1:8" x14ac:dyDescent="0.25">
      <c r="A47" s="13">
        <v>401</v>
      </c>
      <c r="B47" s="13" t="s">
        <v>62</v>
      </c>
      <c r="C47" s="13">
        <v>28</v>
      </c>
      <c r="D47" s="13">
        <v>2000</v>
      </c>
      <c r="E47" s="13">
        <v>6500</v>
      </c>
      <c r="F47" s="24">
        <v>6000</v>
      </c>
      <c r="G47" t="s">
        <v>64</v>
      </c>
    </row>
    <row r="48" spans="1:8" x14ac:dyDescent="0.25">
      <c r="A48" s="4">
        <v>402</v>
      </c>
      <c r="B48" s="4" t="s">
        <v>47</v>
      </c>
      <c r="C48" s="4">
        <v>20</v>
      </c>
      <c r="D48" s="4">
        <v>1000</v>
      </c>
      <c r="E48" s="4">
        <v>6500</v>
      </c>
      <c r="F48" s="24">
        <v>9000</v>
      </c>
      <c r="G48" t="s">
        <v>64</v>
      </c>
    </row>
    <row r="49" spans="1:8" x14ac:dyDescent="0.25">
      <c r="A49" s="4">
        <v>402</v>
      </c>
      <c r="B49" s="4" t="s">
        <v>48</v>
      </c>
      <c r="C49" s="4">
        <v>1</v>
      </c>
      <c r="D49" s="4">
        <v>1000</v>
      </c>
      <c r="E49" s="4">
        <v>6000</v>
      </c>
      <c r="F49" s="24">
        <v>5500</v>
      </c>
      <c r="G49" t="s">
        <v>64</v>
      </c>
    </row>
    <row r="50" spans="1:8" x14ac:dyDescent="0.25">
      <c r="A50" s="4">
        <v>402</v>
      </c>
      <c r="B50" s="4" t="s">
        <v>49</v>
      </c>
      <c r="C50" s="4">
        <v>17</v>
      </c>
      <c r="D50" s="4">
        <v>1000</v>
      </c>
      <c r="E50" s="4">
        <v>6500</v>
      </c>
      <c r="F50" s="24">
        <v>3500</v>
      </c>
      <c r="G50" t="s">
        <v>64</v>
      </c>
      <c r="H50" t="s">
        <v>85</v>
      </c>
    </row>
    <row r="51" spans="1:8" x14ac:dyDescent="0.25">
      <c r="A51" s="4">
        <v>402</v>
      </c>
      <c r="B51" s="4" t="s">
        <v>50</v>
      </c>
      <c r="C51" s="4">
        <v>1</v>
      </c>
      <c r="D51" s="4">
        <v>2000</v>
      </c>
      <c r="E51" s="4">
        <v>6000</v>
      </c>
      <c r="F51" s="24">
        <v>6000</v>
      </c>
      <c r="G51" t="s">
        <v>64</v>
      </c>
    </row>
    <row r="52" spans="1:8" x14ac:dyDescent="0.25">
      <c r="A52" s="4">
        <v>402</v>
      </c>
      <c r="B52" s="4" t="s">
        <v>51</v>
      </c>
      <c r="C52" s="4">
        <v>1</v>
      </c>
      <c r="D52" s="4">
        <v>1000</v>
      </c>
      <c r="E52" s="4">
        <v>6000</v>
      </c>
      <c r="F52" s="24">
        <v>3000</v>
      </c>
      <c r="G52" t="s">
        <v>64</v>
      </c>
      <c r="H52" t="s">
        <v>107</v>
      </c>
    </row>
    <row r="53" spans="1:8" x14ac:dyDescent="0.25">
      <c r="A53" s="4">
        <v>402</v>
      </c>
      <c r="B53" s="4" t="s">
        <v>52</v>
      </c>
      <c r="C53" s="4">
        <v>14</v>
      </c>
      <c r="D53" s="4">
        <v>1000</v>
      </c>
      <c r="E53" s="4">
        <v>6000</v>
      </c>
      <c r="F53" s="24">
        <v>6000</v>
      </c>
      <c r="G53" t="s">
        <v>64</v>
      </c>
      <c r="H53" t="s">
        <v>107</v>
      </c>
    </row>
    <row r="54" spans="1:8" x14ac:dyDescent="0.25">
      <c r="A54" s="4">
        <v>501</v>
      </c>
      <c r="B54" s="4" t="s">
        <v>54</v>
      </c>
      <c r="C54" s="4">
        <v>1</v>
      </c>
      <c r="D54" s="4">
        <v>1000</v>
      </c>
      <c r="E54" s="4">
        <v>4500</v>
      </c>
      <c r="F54" s="24">
        <v>4500</v>
      </c>
      <c r="G54" t="s">
        <v>64</v>
      </c>
    </row>
    <row r="55" spans="1:8" hidden="1" x14ac:dyDescent="0.25">
      <c r="A55" s="4">
        <v>501</v>
      </c>
      <c r="B55" s="4" t="s">
        <v>55</v>
      </c>
      <c r="C55" s="4">
        <v>1</v>
      </c>
      <c r="D55" s="4">
        <v>1000</v>
      </c>
      <c r="E55" s="4">
        <v>6000</v>
      </c>
      <c r="F55" s="24">
        <v>2000</v>
      </c>
      <c r="G55" t="s">
        <v>67</v>
      </c>
      <c r="H55" t="s">
        <v>107</v>
      </c>
    </row>
    <row r="56" spans="1:8" x14ac:dyDescent="0.25">
      <c r="A56" s="4">
        <v>501</v>
      </c>
      <c r="B56" s="4" t="s">
        <v>57</v>
      </c>
      <c r="C56" s="4">
        <v>31</v>
      </c>
      <c r="D56" s="4">
        <v>1000</v>
      </c>
      <c r="E56" s="4">
        <v>6000</v>
      </c>
      <c r="F56" s="24">
        <v>5500</v>
      </c>
      <c r="G56" s="24" t="s">
        <v>64</v>
      </c>
    </row>
    <row r="57" spans="1:8" x14ac:dyDescent="0.25">
      <c r="A57" s="4">
        <v>501</v>
      </c>
      <c r="B57" s="4" t="s">
        <v>73</v>
      </c>
      <c r="C57" s="4">
        <v>1</v>
      </c>
      <c r="D57" s="4">
        <v>2000</v>
      </c>
      <c r="E57" s="4">
        <v>6500</v>
      </c>
      <c r="F57" s="24">
        <v>8000</v>
      </c>
      <c r="G57" s="25" t="s">
        <v>64</v>
      </c>
    </row>
    <row r="58" spans="1:8" x14ac:dyDescent="0.25">
      <c r="A58" s="4">
        <v>501</v>
      </c>
      <c r="B58" s="4" t="s">
        <v>40</v>
      </c>
      <c r="C58" s="4">
        <v>7</v>
      </c>
      <c r="D58" s="4">
        <v>500</v>
      </c>
      <c r="E58" s="4">
        <v>6500</v>
      </c>
      <c r="F58" s="24">
        <v>7000</v>
      </c>
      <c r="G58" t="s">
        <v>64</v>
      </c>
    </row>
    <row r="59" spans="1:8" x14ac:dyDescent="0.25">
      <c r="A59" s="4">
        <v>501</v>
      </c>
      <c r="B59" s="4" t="s">
        <v>58</v>
      </c>
      <c r="C59" s="4">
        <v>2</v>
      </c>
      <c r="D59" s="4">
        <v>1000</v>
      </c>
      <c r="E59" s="4">
        <v>6000</v>
      </c>
      <c r="F59" s="24">
        <v>5000</v>
      </c>
      <c r="G59" t="s">
        <v>64</v>
      </c>
    </row>
    <row r="60" spans="1:8" x14ac:dyDescent="0.25">
      <c r="A60" s="4">
        <v>501</v>
      </c>
      <c r="B60" s="4" t="s">
        <v>111</v>
      </c>
      <c r="C60" s="4">
        <v>22</v>
      </c>
      <c r="D60" s="4">
        <v>2000</v>
      </c>
      <c r="E60" s="4">
        <v>6500</v>
      </c>
      <c r="F60" s="24">
        <v>6500</v>
      </c>
      <c r="G60" t="s">
        <v>64</v>
      </c>
      <c r="H60" t="s">
        <v>107</v>
      </c>
    </row>
    <row r="61" spans="1:8" x14ac:dyDescent="0.25">
      <c r="A61" s="4">
        <v>501</v>
      </c>
      <c r="B61" s="4" t="s">
        <v>114</v>
      </c>
      <c r="C61" s="4">
        <v>8</v>
      </c>
      <c r="D61" s="4">
        <v>2000</v>
      </c>
      <c r="E61" s="4">
        <v>6500</v>
      </c>
      <c r="F61" s="24">
        <v>2000</v>
      </c>
      <c r="G61" t="s">
        <v>64</v>
      </c>
    </row>
    <row r="62" spans="1:8" x14ac:dyDescent="0.25">
      <c r="A62" s="4">
        <v>502</v>
      </c>
      <c r="B62" s="4" t="s">
        <v>59</v>
      </c>
      <c r="C62" s="4">
        <v>1</v>
      </c>
      <c r="D62" s="4">
        <v>1000</v>
      </c>
      <c r="E62" s="4">
        <v>7500</v>
      </c>
      <c r="F62" s="24">
        <v>7500</v>
      </c>
      <c r="G62" t="s">
        <v>64</v>
      </c>
    </row>
    <row r="63" spans="1:8" x14ac:dyDescent="0.25">
      <c r="A63" s="4">
        <v>502</v>
      </c>
      <c r="B63" s="4" t="s">
        <v>60</v>
      </c>
      <c r="C63" s="4">
        <v>3</v>
      </c>
      <c r="D63" s="4">
        <v>1000</v>
      </c>
      <c r="E63" s="4">
        <v>6500</v>
      </c>
      <c r="F63" s="24">
        <v>6500</v>
      </c>
      <c r="G63" t="s">
        <v>64</v>
      </c>
    </row>
    <row r="64" spans="1:8" x14ac:dyDescent="0.25">
      <c r="A64" s="4">
        <v>502</v>
      </c>
      <c r="B64" s="4" t="s">
        <v>74</v>
      </c>
      <c r="C64" s="4">
        <v>8</v>
      </c>
      <c r="D64" s="4">
        <v>2000</v>
      </c>
      <c r="E64" s="4">
        <v>6500</v>
      </c>
      <c r="F64" s="24">
        <v>6500</v>
      </c>
      <c r="G64" t="s">
        <v>64</v>
      </c>
    </row>
    <row r="65" spans="1:15" x14ac:dyDescent="0.25">
      <c r="A65" s="4">
        <v>502</v>
      </c>
      <c r="B65" s="4" t="s">
        <v>61</v>
      </c>
      <c r="C65" s="4">
        <v>1</v>
      </c>
      <c r="D65" s="4">
        <v>1000</v>
      </c>
      <c r="E65" s="4">
        <v>7500</v>
      </c>
      <c r="F65" s="24">
        <v>7500</v>
      </c>
      <c r="G65" t="s">
        <v>64</v>
      </c>
    </row>
    <row r="66" spans="1:15" hidden="1" x14ac:dyDescent="0.25">
      <c r="A66" s="13">
        <v>502</v>
      </c>
      <c r="B66" s="13" t="s">
        <v>62</v>
      </c>
      <c r="C66" s="13">
        <v>28</v>
      </c>
      <c r="D66" s="13">
        <v>2000</v>
      </c>
      <c r="E66" s="13">
        <v>6500</v>
      </c>
    </row>
    <row r="67" spans="1:15" x14ac:dyDescent="0.25">
      <c r="A67" s="4">
        <v>602</v>
      </c>
      <c r="B67" s="4" t="s">
        <v>63</v>
      </c>
      <c r="C67" s="10">
        <v>45870</v>
      </c>
      <c r="D67" s="4">
        <v>0</v>
      </c>
      <c r="E67" s="4">
        <v>15000</v>
      </c>
      <c r="F67" s="23">
        <v>14200</v>
      </c>
      <c r="G67" t="s">
        <v>64</v>
      </c>
    </row>
    <row r="68" spans="1:15" x14ac:dyDescent="0.25">
      <c r="A68" s="4">
        <v>701</v>
      </c>
      <c r="B68" s="4" t="s">
        <v>76</v>
      </c>
      <c r="C68" s="4">
        <v>1</v>
      </c>
      <c r="D68" s="4">
        <v>1000</v>
      </c>
      <c r="E68" s="4">
        <v>6000</v>
      </c>
      <c r="F68" s="24">
        <v>500</v>
      </c>
      <c r="G68" t="s">
        <v>64</v>
      </c>
    </row>
    <row r="69" spans="1:15" x14ac:dyDescent="0.25">
      <c r="A69" s="4">
        <v>701</v>
      </c>
      <c r="B69" s="4" t="s">
        <v>77</v>
      </c>
      <c r="C69" s="4">
        <v>1</v>
      </c>
      <c r="D69" s="4">
        <v>1000</v>
      </c>
      <c r="E69" s="4">
        <v>6000</v>
      </c>
      <c r="F69" s="24">
        <v>6000</v>
      </c>
      <c r="G69" t="s">
        <v>64</v>
      </c>
    </row>
    <row r="70" spans="1:15" x14ac:dyDescent="0.25">
      <c r="A70" s="4">
        <v>701</v>
      </c>
      <c r="B70" s="4" t="s">
        <v>78</v>
      </c>
      <c r="C70" s="4">
        <v>1</v>
      </c>
      <c r="D70" s="4">
        <v>1000</v>
      </c>
      <c r="E70" s="4">
        <v>6000</v>
      </c>
      <c r="F70" s="24">
        <v>500</v>
      </c>
      <c r="G70" t="s">
        <v>64</v>
      </c>
    </row>
    <row r="71" spans="1:15" x14ac:dyDescent="0.25">
      <c r="A71" s="4">
        <v>701</v>
      </c>
      <c r="B71" s="4" t="s">
        <v>79</v>
      </c>
      <c r="C71" s="4">
        <v>1</v>
      </c>
      <c r="D71" s="4">
        <v>1000</v>
      </c>
      <c r="E71" s="4">
        <v>6000</v>
      </c>
      <c r="F71" s="24">
        <v>6000</v>
      </c>
      <c r="G71" t="s">
        <v>64</v>
      </c>
    </row>
    <row r="72" spans="1:15" x14ac:dyDescent="0.25">
      <c r="N72">
        <f>N78-N77</f>
        <v>197.35999999999876</v>
      </c>
    </row>
    <row r="76" spans="1:15" x14ac:dyDescent="0.25">
      <c r="H76" t="s">
        <v>113</v>
      </c>
      <c r="I76" t="s">
        <v>84</v>
      </c>
      <c r="J76" t="s">
        <v>85</v>
      </c>
    </row>
    <row r="77" spans="1:15" x14ac:dyDescent="0.25">
      <c r="E77" s="12">
        <f>SUM(F2:F76)</f>
        <v>378250</v>
      </c>
      <c r="G77" t="s">
        <v>64</v>
      </c>
      <c r="H77">
        <v>330750</v>
      </c>
      <c r="I77">
        <f>278106+26835+1000</f>
        <v>305941</v>
      </c>
      <c r="J77">
        <f>H77-I77</f>
        <v>24809</v>
      </c>
      <c r="L77" t="s">
        <v>99</v>
      </c>
      <c r="M77">
        <f>37*J81</f>
        <v>17418.12</v>
      </c>
      <c r="N77">
        <f>J77-M77</f>
        <v>7390.880000000001</v>
      </c>
      <c r="O77" t="s">
        <v>116</v>
      </c>
    </row>
    <row r="78" spans="1:15" x14ac:dyDescent="0.25">
      <c r="G78" t="s">
        <v>66</v>
      </c>
      <c r="H78">
        <v>12500</v>
      </c>
      <c r="I78">
        <v>8790</v>
      </c>
      <c r="J78">
        <f>H78-I78</f>
        <v>3710</v>
      </c>
      <c r="L78" t="s">
        <v>100</v>
      </c>
      <c r="M78">
        <f>24*J81</f>
        <v>11298.24</v>
      </c>
      <c r="N78">
        <f>M78-J78</f>
        <v>7588.24</v>
      </c>
      <c r="O78" t="s">
        <v>117</v>
      </c>
    </row>
    <row r="79" spans="1:15" x14ac:dyDescent="0.25">
      <c r="G79" t="s">
        <v>67</v>
      </c>
      <c r="H79">
        <v>35000</v>
      </c>
      <c r="I79">
        <v>16443</v>
      </c>
      <c r="J79">
        <f>H79-I79</f>
        <v>18557</v>
      </c>
      <c r="L79" t="s">
        <v>101</v>
      </c>
      <c r="M79">
        <f>24*J81</f>
        <v>11298.24</v>
      </c>
      <c r="N79">
        <f>J79-M79</f>
        <v>7258.76</v>
      </c>
      <c r="O79" t="s">
        <v>116</v>
      </c>
    </row>
    <row r="80" spans="1:15" x14ac:dyDescent="0.25">
      <c r="I80" t="s">
        <v>115</v>
      </c>
      <c r="J80">
        <f>J77+J78+J79</f>
        <v>47076</v>
      </c>
      <c r="L80" t="s">
        <v>102</v>
      </c>
      <c r="M80">
        <f>15*J81</f>
        <v>7061.4</v>
      </c>
      <c r="N80">
        <v>7061</v>
      </c>
      <c r="O80" t="s">
        <v>117</v>
      </c>
    </row>
    <row r="81" spans="10:10" x14ac:dyDescent="0.25">
      <c r="J81">
        <f>J80/100</f>
        <v>470.76</v>
      </c>
    </row>
  </sheetData>
  <autoFilter ref="A1:T71" xr:uid="{0DA07A94-53C2-4950-892B-9CE5E90055AC}">
    <filterColumn colId="6">
      <filters>
        <filter val="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</vt:lpstr>
      <vt:lpstr>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Balaji Raju</dc:creator>
  <cp:lastModifiedBy>K Balaji Raju</cp:lastModifiedBy>
  <dcterms:created xsi:type="dcterms:W3CDTF">2025-11-01T13:39:26Z</dcterms:created>
  <dcterms:modified xsi:type="dcterms:W3CDTF">2025-12-01T17:40:17Z</dcterms:modified>
</cp:coreProperties>
</file>