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lajiRaju_hahrytk\Documents\balaji\"/>
    </mc:Choice>
  </mc:AlternateContent>
  <xr:revisionPtr revIDLastSave="0" documentId="13_ncr:1_{D8C6D76B-95AD-428D-9A7F-646651893DE8}" xr6:coauthVersionLast="47" xr6:coauthVersionMax="47" xr10:uidLastSave="{00000000-0000-0000-0000-000000000000}"/>
  <bookViews>
    <workbookView xWindow="-120" yWindow="-120" windowWidth="20730" windowHeight="11040" activeTab="1" xr2:uid="{B5D93AED-9A96-4D5F-B657-0572CE9E5DDA}"/>
  </bookViews>
  <sheets>
    <sheet name="Sheet1" sheetId="1" r:id="rId1"/>
    <sheet name="Sheet2" sheetId="2" r:id="rId2"/>
  </sheets>
  <definedNames>
    <definedName name="_xlnm._FilterDatabase" localSheetId="0" hidden="1">Sheet1!$A$1:$M$73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4" i="2"/>
  <c r="E17" i="2"/>
  <c r="E22" i="2" s="1"/>
  <c r="I22" i="2" s="1"/>
  <c r="B22" i="2"/>
  <c r="H19" i="2"/>
</calcChain>
</file>

<file path=xl/sharedStrings.xml><?xml version="1.0" encoding="utf-8"?>
<sst xmlns="http://schemas.openxmlformats.org/spreadsheetml/2006/main" count="163" uniqueCount="90">
  <si>
    <t>S.no</t>
  </si>
  <si>
    <t>Room No</t>
  </si>
  <si>
    <t>Name</t>
  </si>
  <si>
    <t>Date of joining</t>
  </si>
  <si>
    <t>Advance</t>
  </si>
  <si>
    <t>Rent</t>
  </si>
  <si>
    <t>For Sep</t>
  </si>
  <si>
    <t>paid to</t>
  </si>
  <si>
    <t>Hanumanth Reddy</t>
  </si>
  <si>
    <t>S</t>
  </si>
  <si>
    <t>Akilesh</t>
  </si>
  <si>
    <t>Pavan</t>
  </si>
  <si>
    <t>Manik rao</t>
  </si>
  <si>
    <t>pasha</t>
  </si>
  <si>
    <t>basava raj</t>
  </si>
  <si>
    <t>vamshi</t>
  </si>
  <si>
    <t>anjineya</t>
  </si>
  <si>
    <t>abishaik</t>
  </si>
  <si>
    <t>ayush</t>
  </si>
  <si>
    <t>praveen</t>
  </si>
  <si>
    <t>rohan</t>
  </si>
  <si>
    <t>Sai</t>
  </si>
  <si>
    <t>swami</t>
  </si>
  <si>
    <t>sonubad</t>
  </si>
  <si>
    <t>Brido</t>
  </si>
  <si>
    <t>chinmaya</t>
  </si>
  <si>
    <t>R</t>
  </si>
  <si>
    <t>B</t>
  </si>
  <si>
    <t>nagaiah</t>
  </si>
  <si>
    <t>preetham</t>
  </si>
  <si>
    <t>chandrarao</t>
  </si>
  <si>
    <t>vijay</t>
  </si>
  <si>
    <t>barath</t>
  </si>
  <si>
    <t>chikun</t>
  </si>
  <si>
    <t>swapnil</t>
  </si>
  <si>
    <t>28,1-oct</t>
  </si>
  <si>
    <t>ramu</t>
  </si>
  <si>
    <t>sravan</t>
  </si>
  <si>
    <t>hasha vardhan</t>
  </si>
  <si>
    <t>ramesh</t>
  </si>
  <si>
    <t>sai</t>
  </si>
  <si>
    <t>hari</t>
  </si>
  <si>
    <t>Afroz khan</t>
  </si>
  <si>
    <t>laxman</t>
  </si>
  <si>
    <t>shubam</t>
  </si>
  <si>
    <t>MD Abdul</t>
  </si>
  <si>
    <t>MD hidya thulla</t>
  </si>
  <si>
    <t>nitish Kumar</t>
  </si>
  <si>
    <t>sai dath</t>
  </si>
  <si>
    <t>pradeep</t>
  </si>
  <si>
    <t>aravindh</t>
  </si>
  <si>
    <t>parushuram</t>
  </si>
  <si>
    <t>sreekanth</t>
  </si>
  <si>
    <t>surya chandra</t>
  </si>
  <si>
    <t>dhayanandh</t>
  </si>
  <si>
    <t>manikanta</t>
  </si>
  <si>
    <t>Vamsi</t>
  </si>
  <si>
    <t>Sharan</t>
  </si>
  <si>
    <t>Rajesh</t>
  </si>
  <si>
    <t>suraj</t>
  </si>
  <si>
    <t>harish</t>
  </si>
  <si>
    <t>sai kiran</t>
  </si>
  <si>
    <t>arun</t>
  </si>
  <si>
    <t>Srinu</t>
  </si>
  <si>
    <t>swasthik</t>
  </si>
  <si>
    <t>kumaraSwami</t>
  </si>
  <si>
    <t>raj Reddy</t>
  </si>
  <si>
    <t>Masthan</t>
  </si>
  <si>
    <t>Yaswant</t>
  </si>
  <si>
    <t>vikram</t>
  </si>
  <si>
    <t>Mayank</t>
  </si>
  <si>
    <t>govindh</t>
  </si>
  <si>
    <t>hussain</t>
  </si>
  <si>
    <t>nagendra Vamshi</t>
  </si>
  <si>
    <t>vamsi</t>
  </si>
  <si>
    <t>kumar</t>
  </si>
  <si>
    <t>Sudharshan</t>
  </si>
  <si>
    <t>Ravi</t>
  </si>
  <si>
    <t>Balaji</t>
  </si>
  <si>
    <t>pending</t>
  </si>
  <si>
    <t>rent</t>
  </si>
  <si>
    <t>Expenditure</t>
  </si>
  <si>
    <t>ravi</t>
  </si>
  <si>
    <t>Grand Total</t>
  </si>
  <si>
    <t>Expenditure Total</t>
  </si>
  <si>
    <t>anna</t>
  </si>
  <si>
    <t>left</t>
  </si>
  <si>
    <t>yet to collect</t>
  </si>
  <si>
    <t>daily</t>
  </si>
  <si>
    <t>total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</si>
</sst>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  <xf numFmtId="0" fontId="0" fillId="0" borderId="0" xfId="0" applyAlignment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/>
    <xf numFmtId="0" fontId="3" fillId="0" borderId="4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/>
    <xf numFmtId="0" fontId="0" fillId="0" borderId="1" xfId="0" applyBorder="1" applyAlignment="1"/>
    <xf numFmtId="0" fontId="0" fillId="0" borderId="3" xfId="0" applyBorder="1" applyAlignment="1"/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4" xfId="0" applyFill="1" applyBorder="1" applyAlignment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2" xfId="0" applyFill="1" applyBorder="1" applyAlignment="1"/>
    <xf numFmtId="0" fontId="1" fillId="0" borderId="4" xfId="0" applyFont="1" applyBorder="1" applyAlignment="1"/>
    <xf numFmtId="0" fontId="3" fillId="0" borderId="4" xfId="0" applyFont="1" applyBorder="1" applyAlignment="1"/>
    <xf numFmtId="0" fontId="1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/>
    <xf numFmtId="0" fontId="1" fillId="0" borderId="7" xfId="0" applyFont="1" applyFill="1" applyBorder="1" applyAlignment="1"/>
    <xf numFmtId="0" fontId="0" fillId="0" borderId="7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4" xfId="0" applyFill="1" applyBorder="1" applyAlignment="1"/>
    <xf numFmtId="0" fontId="0" fillId="3" borderId="7" xfId="0" applyFill="1" applyBorder="1" applyAlignment="1">
      <alignment horizontal="right"/>
    </xf>
    <xf numFmtId="0" fontId="0" fillId="3" borderId="0" xfId="0" applyFill="1" applyAlignment="1"/>
    <xf numFmtId="0" fontId="0" fillId="3" borderId="5" xfId="0" applyFill="1" applyBorder="1" applyAlignment="1"/>
    <xf numFmtId="0" fontId="0" fillId="3" borderId="5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1" fillId="3" borderId="4" xfId="0" applyFont="1" applyFill="1" applyBorder="1" applyAlignment="1"/>
    <xf numFmtId="0" fontId="0" fillId="3" borderId="8" xfId="0" applyFill="1" applyBorder="1" applyAlignment="1">
      <alignment horizontal="right"/>
    </xf>
    <xf numFmtId="0" fontId="0" fillId="3" borderId="0" xfId="0" applyFill="1"/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2" xfId="0" applyFill="1" applyBorder="1" applyAlignment="1"/>
    <xf numFmtId="0" fontId="0" fillId="4" borderId="7" xfId="0" applyFill="1" applyBorder="1" applyAlignment="1">
      <alignment horizontal="right"/>
    </xf>
    <xf numFmtId="0" fontId="0" fillId="4" borderId="8" xfId="0" applyFill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0687-AC5D-44E1-B409-5A2E67146634}">
  <sheetPr filterMode="1"/>
  <dimension ref="A1:M73"/>
  <sheetViews>
    <sheetView topLeftCell="B1" workbookViewId="0">
      <selection activeCell="B68" sqref="A68:XFD68"/>
    </sheetView>
  </sheetViews>
  <sheetFormatPr defaultRowHeight="15" x14ac:dyDescent="0.25"/>
  <cols>
    <col min="1" max="1" width="5" style="4" bestFit="1" customWidth="1"/>
    <col min="2" max="2" width="9.28515625" style="4" bestFit="1" customWidth="1"/>
    <col min="3" max="3" width="17.42578125" style="4" bestFit="1" customWidth="1"/>
    <col min="4" max="4" width="14.28515625" style="4" bestFit="1" customWidth="1"/>
    <col min="5" max="5" width="8.5703125" style="4" bestFit="1" customWidth="1"/>
    <col min="6" max="6" width="5.28515625" style="4" bestFit="1" customWidth="1"/>
    <col min="7" max="7" width="7.7109375" style="4" bestFit="1" customWidth="1"/>
    <col min="8" max="8" width="7.85546875" style="4" bestFit="1" customWidth="1"/>
    <col min="9" max="12" width="9.140625" style="4"/>
    <col min="13" max="13" width="11.7109375" style="4" bestFit="1" customWidth="1"/>
    <col min="14" max="16384" width="9.140625" style="4"/>
  </cols>
  <sheetData>
    <row r="1" spans="1:1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5" t="s">
        <v>9</v>
      </c>
      <c r="J1" s="25" t="s">
        <v>26</v>
      </c>
      <c r="K1" s="25" t="s">
        <v>27</v>
      </c>
    </row>
    <row r="2" spans="1:13" ht="15.75" hidden="1" thickBot="1" x14ac:dyDescent="0.3">
      <c r="A2" s="5">
        <v>1</v>
      </c>
      <c r="B2" s="6">
        <v>101</v>
      </c>
      <c r="C2" s="7" t="s">
        <v>8</v>
      </c>
      <c r="D2" s="6">
        <v>17</v>
      </c>
      <c r="E2" s="6">
        <v>2000</v>
      </c>
      <c r="F2" s="6">
        <v>6000</v>
      </c>
      <c r="G2" s="6">
        <v>7200</v>
      </c>
      <c r="H2" s="7" t="s">
        <v>9</v>
      </c>
      <c r="I2" s="26">
        <v>7200</v>
      </c>
    </row>
    <row r="3" spans="1:13" ht="15.75" hidden="1" thickBot="1" x14ac:dyDescent="0.3">
      <c r="A3" s="5">
        <v>2</v>
      </c>
      <c r="B3" s="6">
        <v>101</v>
      </c>
      <c r="C3" s="7" t="s">
        <v>10</v>
      </c>
      <c r="D3" s="6">
        <v>17</v>
      </c>
      <c r="E3" s="6">
        <v>2000</v>
      </c>
      <c r="F3" s="6">
        <v>6000</v>
      </c>
      <c r="G3" s="6">
        <v>7200</v>
      </c>
      <c r="H3" s="7" t="s">
        <v>9</v>
      </c>
      <c r="I3" s="26">
        <v>7200</v>
      </c>
    </row>
    <row r="4" spans="1:13" ht="15.75" hidden="1" thickBot="1" x14ac:dyDescent="0.3">
      <c r="A4" s="5">
        <v>3</v>
      </c>
      <c r="B4" s="6">
        <v>101</v>
      </c>
      <c r="C4" s="7" t="s">
        <v>11</v>
      </c>
      <c r="D4" s="6">
        <v>17</v>
      </c>
      <c r="E4" s="6">
        <v>2000</v>
      </c>
      <c r="F4" s="6">
        <v>6000</v>
      </c>
      <c r="G4" s="6">
        <v>7200</v>
      </c>
      <c r="H4" s="7" t="s">
        <v>9</v>
      </c>
      <c r="I4" s="26">
        <v>7200</v>
      </c>
    </row>
    <row r="5" spans="1:13" ht="15.75" hidden="1" thickBot="1" x14ac:dyDescent="0.3">
      <c r="A5" s="5">
        <v>4</v>
      </c>
      <c r="B5" s="6">
        <v>101</v>
      </c>
      <c r="C5" s="7" t="s">
        <v>12</v>
      </c>
      <c r="D5" s="6">
        <v>19</v>
      </c>
      <c r="E5" s="6">
        <v>2000</v>
      </c>
      <c r="F5" s="6">
        <v>6000</v>
      </c>
      <c r="G5" s="8">
        <v>7200</v>
      </c>
      <c r="H5" s="7" t="s">
        <v>9</v>
      </c>
      <c r="I5" s="26">
        <v>7200</v>
      </c>
    </row>
    <row r="6" spans="1:13" s="32" customFormat="1" ht="15.75" thickBot="1" x14ac:dyDescent="0.3">
      <c r="A6" s="39">
        <v>1</v>
      </c>
      <c r="B6" s="40">
        <v>102</v>
      </c>
      <c r="C6" s="41" t="s">
        <v>13</v>
      </c>
      <c r="D6" s="40">
        <v>27</v>
      </c>
      <c r="E6" s="40">
        <v>1000</v>
      </c>
      <c r="F6" s="40">
        <v>6000</v>
      </c>
      <c r="G6" s="41"/>
      <c r="H6" s="41"/>
      <c r="M6" s="4">
        <v>6000</v>
      </c>
    </row>
    <row r="7" spans="1:13" ht="15.75" hidden="1" thickBot="1" x14ac:dyDescent="0.3">
      <c r="A7" s="5">
        <v>2</v>
      </c>
      <c r="B7" s="6">
        <v>102</v>
      </c>
      <c r="C7" s="7" t="s">
        <v>14</v>
      </c>
      <c r="D7" s="6">
        <v>1</v>
      </c>
      <c r="E7" s="6">
        <v>1000</v>
      </c>
      <c r="F7" s="6">
        <v>6000</v>
      </c>
      <c r="G7" s="6">
        <v>6000</v>
      </c>
      <c r="H7" s="7" t="s">
        <v>9</v>
      </c>
      <c r="I7" s="27">
        <v>6000</v>
      </c>
    </row>
    <row r="8" spans="1:13" s="32" customFormat="1" ht="15.75" thickBot="1" x14ac:dyDescent="0.3">
      <c r="A8" s="28">
        <v>3</v>
      </c>
      <c r="B8" s="29">
        <v>102</v>
      </c>
      <c r="C8" s="30" t="s">
        <v>15</v>
      </c>
      <c r="D8" s="29">
        <v>20</v>
      </c>
      <c r="E8" s="29">
        <v>1000</v>
      </c>
      <c r="F8" s="29">
        <v>6000</v>
      </c>
      <c r="G8" s="30"/>
      <c r="H8" s="30"/>
      <c r="M8" s="32">
        <v>6000</v>
      </c>
    </row>
    <row r="9" spans="1:13" s="32" customFormat="1" ht="15.75" thickBot="1" x14ac:dyDescent="0.3">
      <c r="A9" s="28">
        <v>4</v>
      </c>
      <c r="B9" s="29">
        <v>102</v>
      </c>
      <c r="C9" s="30" t="s">
        <v>16</v>
      </c>
      <c r="D9" s="29">
        <v>27</v>
      </c>
      <c r="E9" s="29">
        <v>1000</v>
      </c>
      <c r="F9" s="29">
        <v>6000</v>
      </c>
      <c r="G9" s="30"/>
      <c r="H9" s="30"/>
      <c r="M9" s="32">
        <v>6000</v>
      </c>
    </row>
    <row r="10" spans="1:13" ht="15.75" hidden="1" thickBot="1" x14ac:dyDescent="0.3">
      <c r="A10" s="5">
        <v>5</v>
      </c>
      <c r="B10" s="6">
        <v>102</v>
      </c>
      <c r="C10" s="7" t="s">
        <v>17</v>
      </c>
      <c r="D10" s="6">
        <v>31</v>
      </c>
      <c r="E10" s="6">
        <v>2000</v>
      </c>
      <c r="F10" s="6">
        <v>6000</v>
      </c>
      <c r="G10" s="8">
        <v>6000</v>
      </c>
      <c r="H10" s="7" t="s">
        <v>9</v>
      </c>
      <c r="I10" s="26">
        <v>6000</v>
      </c>
    </row>
    <row r="11" spans="1:13" ht="15.75" hidden="1" thickBot="1" x14ac:dyDescent="0.3">
      <c r="A11" s="5">
        <v>6</v>
      </c>
      <c r="B11" s="6">
        <v>102</v>
      </c>
      <c r="C11" s="7" t="s">
        <v>18</v>
      </c>
      <c r="D11" s="6">
        <v>31</v>
      </c>
      <c r="E11" s="6">
        <v>2000</v>
      </c>
      <c r="F11" s="6">
        <v>6000</v>
      </c>
      <c r="G11" s="6">
        <v>8100</v>
      </c>
      <c r="H11" s="7" t="s">
        <v>9</v>
      </c>
      <c r="I11" s="26">
        <v>8100</v>
      </c>
    </row>
    <row r="12" spans="1:13" ht="15.75" hidden="1" thickBot="1" x14ac:dyDescent="0.3">
      <c r="A12" s="5">
        <v>7</v>
      </c>
      <c r="B12" s="6">
        <v>102</v>
      </c>
      <c r="C12" s="7" t="s">
        <v>19</v>
      </c>
      <c r="D12" s="6">
        <v>31</v>
      </c>
      <c r="E12" s="6">
        <v>2000</v>
      </c>
      <c r="F12" s="6">
        <v>6000</v>
      </c>
      <c r="G12" s="6">
        <v>8100</v>
      </c>
      <c r="H12" s="7" t="s">
        <v>9</v>
      </c>
      <c r="I12" s="27">
        <v>8100</v>
      </c>
    </row>
    <row r="13" spans="1:13" ht="15.75" hidden="1" thickBot="1" x14ac:dyDescent="0.3">
      <c r="A13" s="5">
        <v>8</v>
      </c>
      <c r="B13" s="6">
        <v>102</v>
      </c>
      <c r="C13" s="7" t="s">
        <v>20</v>
      </c>
      <c r="D13" s="6">
        <v>31</v>
      </c>
      <c r="E13" s="6">
        <v>2000</v>
      </c>
      <c r="F13" s="6">
        <v>6000</v>
      </c>
      <c r="G13" s="6">
        <v>7000</v>
      </c>
      <c r="H13" s="7" t="s">
        <v>9</v>
      </c>
      <c r="I13" s="27">
        <v>7000</v>
      </c>
    </row>
    <row r="14" spans="1:13" ht="15.75" hidden="1" thickBot="1" x14ac:dyDescent="0.3">
      <c r="A14" s="9">
        <v>1</v>
      </c>
      <c r="B14" s="10">
        <v>201</v>
      </c>
      <c r="C14" s="11" t="s">
        <v>21</v>
      </c>
      <c r="D14" s="10">
        <v>6</v>
      </c>
      <c r="E14" s="10">
        <v>1000</v>
      </c>
      <c r="F14" s="10">
        <v>6500</v>
      </c>
      <c r="G14" s="10">
        <v>500</v>
      </c>
      <c r="H14" s="12" t="s">
        <v>9</v>
      </c>
      <c r="I14" s="26">
        <v>500</v>
      </c>
      <c r="J14" s="42">
        <v>6000</v>
      </c>
    </row>
    <row r="15" spans="1:13" ht="15.75" hidden="1" thickBot="1" x14ac:dyDescent="0.3">
      <c r="A15" s="5">
        <v>2</v>
      </c>
      <c r="B15" s="6">
        <v>201</v>
      </c>
      <c r="C15" s="7" t="s">
        <v>22</v>
      </c>
      <c r="D15" s="6">
        <v>8</v>
      </c>
      <c r="E15" s="6">
        <v>1000</v>
      </c>
      <c r="F15" s="6">
        <v>6500</v>
      </c>
      <c r="G15" s="6">
        <v>6500</v>
      </c>
      <c r="H15" s="13" t="s">
        <v>9</v>
      </c>
      <c r="I15" s="26">
        <v>6500</v>
      </c>
    </row>
    <row r="16" spans="1:13" ht="15.75" hidden="1" thickBot="1" x14ac:dyDescent="0.3">
      <c r="A16" s="5">
        <v>3</v>
      </c>
      <c r="B16" s="6">
        <v>201</v>
      </c>
      <c r="C16" s="7" t="s">
        <v>23</v>
      </c>
      <c r="D16" s="6">
        <v>1</v>
      </c>
      <c r="E16" s="6">
        <v>0</v>
      </c>
      <c r="F16" s="6">
        <v>6000</v>
      </c>
      <c r="G16" s="6">
        <v>6000</v>
      </c>
      <c r="H16" s="13" t="s">
        <v>9</v>
      </c>
      <c r="I16" s="26">
        <v>6000</v>
      </c>
    </row>
    <row r="17" spans="1:13" ht="15.75" hidden="1" thickBot="1" x14ac:dyDescent="0.3">
      <c r="A17" s="5">
        <v>4</v>
      </c>
      <c r="B17" s="6">
        <v>201</v>
      </c>
      <c r="C17" s="7" t="s">
        <v>17</v>
      </c>
      <c r="D17" s="6">
        <v>1</v>
      </c>
      <c r="E17" s="6">
        <v>0</v>
      </c>
      <c r="F17" s="6">
        <v>6000</v>
      </c>
      <c r="G17" s="6">
        <v>6000</v>
      </c>
      <c r="H17" s="13" t="s">
        <v>26</v>
      </c>
      <c r="J17" s="43">
        <v>6000</v>
      </c>
    </row>
    <row r="18" spans="1:13" ht="15.75" hidden="1" thickBot="1" x14ac:dyDescent="0.3">
      <c r="A18" s="5">
        <v>5</v>
      </c>
      <c r="B18" s="6">
        <v>201</v>
      </c>
      <c r="C18" s="7" t="s">
        <v>24</v>
      </c>
      <c r="D18" s="6">
        <v>6</v>
      </c>
      <c r="E18" s="6">
        <v>2000</v>
      </c>
      <c r="F18" s="6">
        <v>4500</v>
      </c>
      <c r="G18" s="6">
        <v>1000</v>
      </c>
      <c r="H18" s="13" t="s">
        <v>27</v>
      </c>
      <c r="I18" s="27">
        <v>1000</v>
      </c>
      <c r="K18" s="4">
        <v>4500</v>
      </c>
    </row>
    <row r="19" spans="1:13" ht="15.75" hidden="1" thickBot="1" x14ac:dyDescent="0.3">
      <c r="A19" s="5">
        <v>6</v>
      </c>
      <c r="B19" s="7"/>
      <c r="C19" s="7" t="s">
        <v>25</v>
      </c>
      <c r="D19" s="7"/>
      <c r="E19" s="7"/>
      <c r="F19" s="7"/>
      <c r="G19" s="6">
        <v>400</v>
      </c>
      <c r="H19" s="13" t="s">
        <v>9</v>
      </c>
    </row>
    <row r="20" spans="1:13" ht="15.75" hidden="1" thickBot="1" x14ac:dyDescent="0.3">
      <c r="A20" s="9">
        <v>1</v>
      </c>
      <c r="B20" s="10">
        <v>202</v>
      </c>
      <c r="C20" s="11" t="s">
        <v>28</v>
      </c>
      <c r="D20" s="10">
        <v>15</v>
      </c>
      <c r="E20" s="10">
        <v>1000</v>
      </c>
      <c r="F20" s="10">
        <v>6500</v>
      </c>
      <c r="G20" s="10">
        <v>5500</v>
      </c>
      <c r="H20" s="11" t="s">
        <v>26</v>
      </c>
      <c r="J20" s="43">
        <v>5500</v>
      </c>
    </row>
    <row r="21" spans="1:13" ht="15.75" hidden="1" thickBot="1" x14ac:dyDescent="0.3">
      <c r="A21" s="5">
        <v>2</v>
      </c>
      <c r="B21" s="6">
        <v>202</v>
      </c>
      <c r="C21" s="7" t="s">
        <v>29</v>
      </c>
      <c r="D21" s="6">
        <v>24</v>
      </c>
      <c r="E21" s="6">
        <v>2000</v>
      </c>
      <c r="F21" s="6">
        <v>7500</v>
      </c>
      <c r="G21" s="6">
        <v>7500</v>
      </c>
      <c r="H21" s="7" t="s">
        <v>9</v>
      </c>
      <c r="I21" s="26">
        <v>7500</v>
      </c>
    </row>
    <row r="22" spans="1:13" ht="15.75" hidden="1" thickBot="1" x14ac:dyDescent="0.3">
      <c r="A22" s="5">
        <v>3</v>
      </c>
      <c r="B22" s="6">
        <v>202</v>
      </c>
      <c r="C22" s="7" t="s">
        <v>30</v>
      </c>
      <c r="D22" s="6">
        <v>24</v>
      </c>
      <c r="E22" s="6">
        <v>2000</v>
      </c>
      <c r="F22" s="6">
        <v>7500</v>
      </c>
      <c r="G22" s="6">
        <v>7500</v>
      </c>
      <c r="H22" s="7" t="s">
        <v>9</v>
      </c>
      <c r="I22" s="26">
        <v>7500</v>
      </c>
    </row>
    <row r="23" spans="1:13" ht="15.75" hidden="1" thickBot="1" x14ac:dyDescent="0.3">
      <c r="A23" s="14">
        <v>4</v>
      </c>
      <c r="B23" s="15">
        <v>202</v>
      </c>
      <c r="C23" s="16" t="s">
        <v>31</v>
      </c>
      <c r="D23" s="15">
        <v>13</v>
      </c>
      <c r="E23" s="15">
        <v>1000</v>
      </c>
      <c r="F23" s="15">
        <v>6500</v>
      </c>
      <c r="G23" s="15">
        <v>0</v>
      </c>
      <c r="H23" s="16" t="s">
        <v>9</v>
      </c>
    </row>
    <row r="24" spans="1:13" ht="15.75" hidden="1" thickBot="1" x14ac:dyDescent="0.3">
      <c r="A24" s="5">
        <v>5</v>
      </c>
      <c r="B24" s="6">
        <v>202</v>
      </c>
      <c r="C24" s="7" t="s">
        <v>32</v>
      </c>
      <c r="D24" s="6">
        <v>25</v>
      </c>
      <c r="E24" s="6">
        <v>1000</v>
      </c>
      <c r="F24" s="6">
        <v>6500</v>
      </c>
      <c r="G24" s="6">
        <v>6500</v>
      </c>
      <c r="H24" s="7" t="s">
        <v>9</v>
      </c>
      <c r="I24" s="26">
        <v>6500</v>
      </c>
    </row>
    <row r="25" spans="1:13" s="32" customFormat="1" ht="15.75" thickBot="1" x14ac:dyDescent="0.3">
      <c r="A25" s="28">
        <v>6</v>
      </c>
      <c r="B25" s="30">
        <v>202</v>
      </c>
      <c r="C25" s="30" t="s">
        <v>33</v>
      </c>
      <c r="D25" s="29">
        <v>18</v>
      </c>
      <c r="E25" s="30"/>
      <c r="F25" s="30"/>
      <c r="G25" s="29">
        <v>800</v>
      </c>
      <c r="H25" s="30" t="s">
        <v>9</v>
      </c>
      <c r="M25" s="32">
        <v>600</v>
      </c>
    </row>
    <row r="26" spans="1:13" s="32" customFormat="1" ht="15.75" thickBot="1" x14ac:dyDescent="0.3">
      <c r="A26" s="28">
        <v>7</v>
      </c>
      <c r="B26" s="30">
        <v>202</v>
      </c>
      <c r="C26" s="30" t="s">
        <v>34</v>
      </c>
      <c r="D26" s="30" t="s">
        <v>35</v>
      </c>
      <c r="E26" s="29">
        <v>2000</v>
      </c>
      <c r="F26" s="29">
        <v>6500</v>
      </c>
      <c r="G26" s="29">
        <v>2000</v>
      </c>
      <c r="H26" s="30" t="s">
        <v>9</v>
      </c>
      <c r="I26" s="37">
        <v>2000</v>
      </c>
      <c r="M26" s="32">
        <v>650</v>
      </c>
    </row>
    <row r="27" spans="1:13" ht="15.75" hidden="1" thickBot="1" x14ac:dyDescent="0.3">
      <c r="A27" s="9">
        <v>1</v>
      </c>
      <c r="B27" s="10">
        <v>301</v>
      </c>
      <c r="C27" s="11" t="s">
        <v>36</v>
      </c>
      <c r="D27" s="10">
        <v>1</v>
      </c>
      <c r="E27" s="10">
        <v>1000</v>
      </c>
      <c r="F27" s="10">
        <v>6000</v>
      </c>
      <c r="G27" s="10">
        <v>6000</v>
      </c>
      <c r="H27" s="11" t="s">
        <v>9</v>
      </c>
      <c r="I27" s="26">
        <v>6000</v>
      </c>
    </row>
    <row r="28" spans="1:13" ht="15.75" hidden="1" thickBot="1" x14ac:dyDescent="0.3">
      <c r="A28" s="5">
        <v>2</v>
      </c>
      <c r="B28" s="6">
        <v>301</v>
      </c>
      <c r="C28" s="7" t="s">
        <v>37</v>
      </c>
      <c r="D28" s="6">
        <v>6</v>
      </c>
      <c r="E28" s="6">
        <v>1000</v>
      </c>
      <c r="F28" s="6">
        <v>6000</v>
      </c>
      <c r="G28" s="6">
        <v>6500</v>
      </c>
      <c r="H28" s="7" t="s">
        <v>9</v>
      </c>
      <c r="I28" s="26">
        <v>6500</v>
      </c>
    </row>
    <row r="29" spans="1:13" ht="15.75" hidden="1" thickBot="1" x14ac:dyDescent="0.3">
      <c r="A29" s="5">
        <v>3</v>
      </c>
      <c r="B29" s="6">
        <v>301</v>
      </c>
      <c r="C29" s="7" t="s">
        <v>38</v>
      </c>
      <c r="D29" s="6">
        <v>24</v>
      </c>
      <c r="E29" s="6">
        <v>1000</v>
      </c>
      <c r="F29" s="6">
        <v>6000</v>
      </c>
      <c r="G29" s="6">
        <v>6500</v>
      </c>
      <c r="H29" s="7" t="s">
        <v>9</v>
      </c>
      <c r="I29" s="26">
        <v>6500</v>
      </c>
    </row>
    <row r="30" spans="1:13" ht="15.75" hidden="1" thickBot="1" x14ac:dyDescent="0.3">
      <c r="A30" s="5">
        <v>4</v>
      </c>
      <c r="B30" s="6">
        <v>301</v>
      </c>
      <c r="C30" s="7" t="s">
        <v>39</v>
      </c>
      <c r="D30" s="6">
        <v>20</v>
      </c>
      <c r="E30" s="6">
        <v>0</v>
      </c>
      <c r="F30" s="6">
        <v>6000</v>
      </c>
      <c r="G30" s="6">
        <v>6000</v>
      </c>
      <c r="H30" s="7" t="s">
        <v>9</v>
      </c>
      <c r="I30" s="26">
        <v>6000</v>
      </c>
    </row>
    <row r="31" spans="1:13" ht="15.75" hidden="1" thickBot="1" x14ac:dyDescent="0.3">
      <c r="A31" s="5">
        <v>5</v>
      </c>
      <c r="B31" s="6">
        <v>301</v>
      </c>
      <c r="C31" s="7" t="s">
        <v>40</v>
      </c>
      <c r="D31" s="6">
        <v>9</v>
      </c>
      <c r="E31" s="6">
        <v>2000</v>
      </c>
      <c r="F31" s="6">
        <v>6500</v>
      </c>
      <c r="G31" s="6">
        <v>500</v>
      </c>
      <c r="H31" s="7" t="s">
        <v>9</v>
      </c>
      <c r="I31" s="26">
        <v>500</v>
      </c>
      <c r="J31" s="42">
        <v>3500</v>
      </c>
    </row>
    <row r="32" spans="1:13" ht="15.75" hidden="1" thickBot="1" x14ac:dyDescent="0.3">
      <c r="A32" s="5">
        <v>6</v>
      </c>
      <c r="B32" s="6">
        <v>301</v>
      </c>
      <c r="C32" s="7" t="s">
        <v>41</v>
      </c>
      <c r="D32" s="6">
        <v>10</v>
      </c>
      <c r="E32" s="6">
        <v>2000</v>
      </c>
      <c r="F32" s="6">
        <v>6500</v>
      </c>
      <c r="G32" s="6">
        <v>7000</v>
      </c>
      <c r="H32" s="7" t="s">
        <v>9</v>
      </c>
      <c r="I32" s="26">
        <v>7000</v>
      </c>
    </row>
    <row r="33" spans="1:13" ht="15.75" hidden="1" thickBot="1" x14ac:dyDescent="0.3">
      <c r="A33" s="5">
        <v>7</v>
      </c>
      <c r="B33" s="6">
        <v>301</v>
      </c>
      <c r="C33" s="7" t="s">
        <v>42</v>
      </c>
      <c r="D33" s="6">
        <v>17</v>
      </c>
      <c r="E33" s="6">
        <v>2000</v>
      </c>
      <c r="F33" s="6">
        <v>6000</v>
      </c>
      <c r="G33" s="6">
        <v>8000</v>
      </c>
      <c r="H33" s="7" t="s">
        <v>9</v>
      </c>
      <c r="I33" s="26">
        <v>8000</v>
      </c>
    </row>
    <row r="34" spans="1:13" ht="15.75" hidden="1" thickBot="1" x14ac:dyDescent="0.3">
      <c r="A34" s="17">
        <v>1</v>
      </c>
      <c r="B34" s="18">
        <v>302</v>
      </c>
      <c r="C34" s="19" t="s">
        <v>43</v>
      </c>
      <c r="D34" s="18">
        <v>6</v>
      </c>
      <c r="E34" s="18">
        <v>1000</v>
      </c>
      <c r="F34" s="18">
        <v>6500</v>
      </c>
      <c r="G34" s="19"/>
      <c r="H34" s="19"/>
    </row>
    <row r="35" spans="1:13" ht="15.75" hidden="1" thickBot="1" x14ac:dyDescent="0.3">
      <c r="A35" s="5">
        <v>2</v>
      </c>
      <c r="B35" s="6">
        <v>302</v>
      </c>
      <c r="C35" s="7" t="s">
        <v>44</v>
      </c>
      <c r="D35" s="6">
        <v>11</v>
      </c>
      <c r="E35" s="6">
        <v>0</v>
      </c>
      <c r="F35" s="6">
        <v>6000</v>
      </c>
      <c r="G35" s="6">
        <v>5000</v>
      </c>
      <c r="H35" s="7" t="s">
        <v>9</v>
      </c>
      <c r="I35" s="26">
        <v>5000</v>
      </c>
    </row>
    <row r="36" spans="1:13" ht="15.75" hidden="1" thickBot="1" x14ac:dyDescent="0.3">
      <c r="A36" s="5">
        <v>3</v>
      </c>
      <c r="B36" s="6">
        <v>302</v>
      </c>
      <c r="C36" s="7" t="s">
        <v>45</v>
      </c>
      <c r="D36" s="6">
        <v>1</v>
      </c>
      <c r="E36" s="6">
        <v>0</v>
      </c>
      <c r="F36" s="6">
        <v>6000</v>
      </c>
      <c r="G36" s="6">
        <v>6000</v>
      </c>
      <c r="H36" s="7" t="s">
        <v>9</v>
      </c>
      <c r="I36" s="26">
        <v>6000</v>
      </c>
    </row>
    <row r="37" spans="1:13" ht="15.75" hidden="1" thickBot="1" x14ac:dyDescent="0.3">
      <c r="A37" s="5">
        <v>4</v>
      </c>
      <c r="B37" s="6">
        <v>302</v>
      </c>
      <c r="C37" s="7" t="s">
        <v>46</v>
      </c>
      <c r="D37" s="6">
        <v>1</v>
      </c>
      <c r="E37" s="6">
        <v>0</v>
      </c>
      <c r="F37" s="6">
        <v>6000</v>
      </c>
      <c r="G37" s="6">
        <v>6000</v>
      </c>
      <c r="H37" s="7" t="s">
        <v>9</v>
      </c>
      <c r="I37" s="26">
        <v>6000</v>
      </c>
    </row>
    <row r="38" spans="1:13" ht="15.75" hidden="1" thickBot="1" x14ac:dyDescent="0.3">
      <c r="A38" s="5">
        <v>5</v>
      </c>
      <c r="B38" s="6">
        <v>302</v>
      </c>
      <c r="C38" s="7" t="s">
        <v>47</v>
      </c>
      <c r="D38" s="6">
        <v>1</v>
      </c>
      <c r="E38" s="6">
        <v>0</v>
      </c>
      <c r="F38" s="6">
        <v>6000</v>
      </c>
      <c r="G38" s="6">
        <v>6000</v>
      </c>
      <c r="H38" s="7" t="s">
        <v>9</v>
      </c>
      <c r="I38" s="27">
        <v>6000</v>
      </c>
    </row>
    <row r="39" spans="1:13" ht="15.75" hidden="1" thickBot="1" x14ac:dyDescent="0.3">
      <c r="A39" s="5">
        <v>6</v>
      </c>
      <c r="B39" s="6">
        <v>302</v>
      </c>
      <c r="C39" s="7" t="s">
        <v>48</v>
      </c>
      <c r="D39" s="6">
        <v>7</v>
      </c>
      <c r="E39" s="6">
        <v>500</v>
      </c>
      <c r="F39" s="6">
        <v>6500</v>
      </c>
      <c r="G39" s="6">
        <v>7000</v>
      </c>
      <c r="H39" s="7" t="s">
        <v>26</v>
      </c>
      <c r="J39" s="43">
        <v>7000</v>
      </c>
    </row>
    <row r="40" spans="1:13" ht="15.75" hidden="1" thickBot="1" x14ac:dyDescent="0.3">
      <c r="A40" s="5">
        <v>7</v>
      </c>
      <c r="B40" s="6">
        <v>302</v>
      </c>
      <c r="C40" s="7" t="s">
        <v>49</v>
      </c>
      <c r="D40" s="6">
        <v>10</v>
      </c>
      <c r="E40" s="6">
        <v>0</v>
      </c>
      <c r="F40" s="6">
        <v>6000</v>
      </c>
      <c r="G40" s="6">
        <v>6000</v>
      </c>
      <c r="H40" s="7" t="s">
        <v>9</v>
      </c>
      <c r="I40" s="27">
        <v>6000</v>
      </c>
    </row>
    <row r="41" spans="1:13" ht="15.75" hidden="1" thickBot="1" x14ac:dyDescent="0.3">
      <c r="A41" s="17">
        <v>1</v>
      </c>
      <c r="B41" s="18">
        <v>401</v>
      </c>
      <c r="C41" s="19" t="s">
        <v>50</v>
      </c>
      <c r="D41" s="18">
        <v>23</v>
      </c>
      <c r="E41" s="18">
        <v>1000</v>
      </c>
      <c r="F41" s="18">
        <v>6000</v>
      </c>
      <c r="G41" s="19"/>
      <c r="H41" s="19"/>
    </row>
    <row r="42" spans="1:13" s="32" customFormat="1" ht="15.75" thickBot="1" x14ac:dyDescent="0.3">
      <c r="A42" s="28">
        <v>2</v>
      </c>
      <c r="B42" s="29">
        <v>401</v>
      </c>
      <c r="C42" s="30" t="s">
        <v>51</v>
      </c>
      <c r="D42" s="29">
        <v>23</v>
      </c>
      <c r="E42" s="29">
        <v>1000</v>
      </c>
      <c r="F42" s="29">
        <v>6000</v>
      </c>
      <c r="G42" s="29">
        <v>2000</v>
      </c>
      <c r="H42" s="30" t="s">
        <v>9</v>
      </c>
      <c r="I42" s="31">
        <v>2000</v>
      </c>
      <c r="M42" s="32">
        <v>1400</v>
      </c>
    </row>
    <row r="43" spans="1:13" ht="15.75" hidden="1" thickBot="1" x14ac:dyDescent="0.3">
      <c r="A43" s="5">
        <v>3</v>
      </c>
      <c r="B43" s="6">
        <v>401</v>
      </c>
      <c r="C43" s="7" t="s">
        <v>52</v>
      </c>
      <c r="D43" s="6">
        <v>15</v>
      </c>
      <c r="E43" s="6">
        <v>1000</v>
      </c>
      <c r="F43" s="6">
        <v>6000</v>
      </c>
      <c r="G43" s="6">
        <v>6000</v>
      </c>
      <c r="H43" s="7" t="s">
        <v>9</v>
      </c>
      <c r="I43" s="26">
        <v>6000</v>
      </c>
    </row>
    <row r="44" spans="1:13" ht="15.75" hidden="1" thickBot="1" x14ac:dyDescent="0.3">
      <c r="A44" s="5">
        <v>4</v>
      </c>
      <c r="B44" s="6">
        <v>401</v>
      </c>
      <c r="C44" s="7" t="s">
        <v>53</v>
      </c>
      <c r="D44" s="6">
        <v>4</v>
      </c>
      <c r="E44" s="6">
        <v>1000</v>
      </c>
      <c r="F44" s="6">
        <v>6000</v>
      </c>
      <c r="G44" s="6">
        <v>6000</v>
      </c>
      <c r="H44" s="7" t="s">
        <v>9</v>
      </c>
      <c r="I44" s="26">
        <v>6000</v>
      </c>
    </row>
    <row r="45" spans="1:13" s="32" customFormat="1" ht="15.75" thickBot="1" x14ac:dyDescent="0.3">
      <c r="A45" s="28">
        <v>5</v>
      </c>
      <c r="B45" s="29">
        <v>401</v>
      </c>
      <c r="C45" s="30" t="s">
        <v>51</v>
      </c>
      <c r="D45" s="29">
        <v>23</v>
      </c>
      <c r="E45" s="29">
        <v>2000</v>
      </c>
      <c r="F45" s="29">
        <v>6000</v>
      </c>
      <c r="G45" s="29">
        <v>2000</v>
      </c>
      <c r="H45" s="30" t="s">
        <v>9</v>
      </c>
    </row>
    <row r="46" spans="1:13" ht="15.75" hidden="1" thickBot="1" x14ac:dyDescent="0.3">
      <c r="A46" s="5">
        <v>6</v>
      </c>
      <c r="B46" s="6">
        <v>401</v>
      </c>
      <c r="C46" s="7" t="s">
        <v>54</v>
      </c>
      <c r="D46" s="6">
        <v>20</v>
      </c>
      <c r="E46" s="6">
        <v>1000</v>
      </c>
      <c r="F46" s="6">
        <v>6000</v>
      </c>
      <c r="G46" s="6">
        <v>6000</v>
      </c>
      <c r="H46" s="7" t="s">
        <v>9</v>
      </c>
      <c r="I46" s="26">
        <v>6000</v>
      </c>
    </row>
    <row r="47" spans="1:13" ht="15.75" hidden="1" thickBot="1" x14ac:dyDescent="0.3">
      <c r="A47" s="5">
        <v>7</v>
      </c>
      <c r="B47" s="6">
        <v>401</v>
      </c>
      <c r="C47" s="7" t="s">
        <v>55</v>
      </c>
      <c r="D47" s="6">
        <v>3</v>
      </c>
      <c r="E47" s="6">
        <v>1000</v>
      </c>
      <c r="F47" s="6">
        <v>6000</v>
      </c>
      <c r="G47" s="6">
        <v>6000</v>
      </c>
      <c r="H47" s="7" t="s">
        <v>9</v>
      </c>
      <c r="I47" s="27">
        <v>6000</v>
      </c>
    </row>
    <row r="48" spans="1:13" s="32" customFormat="1" ht="15.75" thickBot="1" x14ac:dyDescent="0.3">
      <c r="A48" s="28">
        <v>8</v>
      </c>
      <c r="B48" s="29">
        <v>401</v>
      </c>
      <c r="C48" s="30" t="s">
        <v>56</v>
      </c>
      <c r="D48" s="29">
        <v>17</v>
      </c>
      <c r="E48" s="29">
        <v>2000</v>
      </c>
      <c r="F48" s="29">
        <v>6500</v>
      </c>
      <c r="G48" s="29">
        <v>3000</v>
      </c>
      <c r="H48" s="30" t="s">
        <v>9</v>
      </c>
      <c r="I48" s="32">
        <v>3000</v>
      </c>
      <c r="M48" s="32">
        <v>5000</v>
      </c>
    </row>
    <row r="49" spans="1:13" s="32" customFormat="1" ht="15.75" thickBot="1" x14ac:dyDescent="0.3">
      <c r="A49" s="33"/>
      <c r="B49" s="34">
        <v>401</v>
      </c>
      <c r="C49" s="33" t="s">
        <v>57</v>
      </c>
      <c r="D49" s="34">
        <v>17</v>
      </c>
      <c r="E49" s="35">
        <v>2000</v>
      </c>
      <c r="F49" s="35">
        <v>6500</v>
      </c>
      <c r="G49" s="35">
        <v>3000</v>
      </c>
      <c r="H49" s="33" t="s">
        <v>9</v>
      </c>
      <c r="I49" s="32">
        <v>3000</v>
      </c>
      <c r="M49" s="32">
        <v>5000</v>
      </c>
    </row>
    <row r="50" spans="1:13" ht="15.75" hidden="1" thickBot="1" x14ac:dyDescent="0.3">
      <c r="A50" s="9">
        <v>1</v>
      </c>
      <c r="B50" s="10">
        <v>402</v>
      </c>
      <c r="C50" s="11" t="s">
        <v>58</v>
      </c>
      <c r="D50" s="10">
        <v>20</v>
      </c>
      <c r="E50" s="10">
        <v>1000</v>
      </c>
      <c r="F50" s="10">
        <v>6500</v>
      </c>
      <c r="G50" s="10">
        <v>6000</v>
      </c>
      <c r="H50" s="2" t="s">
        <v>9</v>
      </c>
      <c r="I50" s="26">
        <v>6000</v>
      </c>
    </row>
    <row r="51" spans="1:13" ht="15.75" hidden="1" thickBot="1" x14ac:dyDescent="0.3">
      <c r="A51" s="5">
        <v>2</v>
      </c>
      <c r="B51" s="6">
        <v>402</v>
      </c>
      <c r="C51" s="7" t="s">
        <v>59</v>
      </c>
      <c r="D51" s="6">
        <v>1</v>
      </c>
      <c r="E51" s="6">
        <v>1000</v>
      </c>
      <c r="F51" s="6">
        <v>6000</v>
      </c>
      <c r="G51" s="6">
        <v>6000</v>
      </c>
      <c r="H51" s="20" t="s">
        <v>9</v>
      </c>
      <c r="I51" s="26">
        <v>6000</v>
      </c>
    </row>
    <row r="52" spans="1:13" s="32" customFormat="1" ht="15.75" thickBot="1" x14ac:dyDescent="0.3">
      <c r="A52" s="28">
        <v>3</v>
      </c>
      <c r="B52" s="29">
        <v>402</v>
      </c>
      <c r="C52" s="30" t="s">
        <v>60</v>
      </c>
      <c r="D52" s="29">
        <v>17</v>
      </c>
      <c r="E52" s="29">
        <v>1000</v>
      </c>
      <c r="F52" s="29">
        <v>6500</v>
      </c>
      <c r="G52" s="29">
        <v>5250</v>
      </c>
      <c r="H52" s="36" t="s">
        <v>9</v>
      </c>
      <c r="I52" s="31">
        <v>5250</v>
      </c>
      <c r="L52" s="32" t="s">
        <v>79</v>
      </c>
    </row>
    <row r="53" spans="1:13" ht="15.75" hidden="1" thickBot="1" x14ac:dyDescent="0.3">
      <c r="A53" s="5">
        <v>4</v>
      </c>
      <c r="B53" s="6">
        <v>402</v>
      </c>
      <c r="C53" s="7" t="s">
        <v>61</v>
      </c>
      <c r="D53" s="6">
        <v>1</v>
      </c>
      <c r="E53" s="6">
        <v>2000</v>
      </c>
      <c r="F53" s="6">
        <v>6000</v>
      </c>
      <c r="G53" s="6">
        <v>6000</v>
      </c>
      <c r="H53" s="7" t="s">
        <v>9</v>
      </c>
      <c r="I53" s="26">
        <v>6000</v>
      </c>
    </row>
    <row r="54" spans="1:13" ht="15.75" hidden="1" thickBot="1" x14ac:dyDescent="0.3">
      <c r="A54" s="5">
        <v>5</v>
      </c>
      <c r="B54" s="6">
        <v>402</v>
      </c>
      <c r="C54" s="7" t="s">
        <v>62</v>
      </c>
      <c r="D54" s="6">
        <v>1</v>
      </c>
      <c r="E54" s="6">
        <v>1000</v>
      </c>
      <c r="F54" s="6">
        <v>6000</v>
      </c>
      <c r="G54" s="8">
        <v>6000</v>
      </c>
      <c r="H54" s="21" t="s">
        <v>27</v>
      </c>
      <c r="K54" s="4">
        <v>6000</v>
      </c>
    </row>
    <row r="55" spans="1:13" s="32" customFormat="1" ht="15.75" thickBot="1" x14ac:dyDescent="0.3">
      <c r="A55" s="28">
        <v>6</v>
      </c>
      <c r="B55" s="29">
        <v>402</v>
      </c>
      <c r="C55" s="30" t="s">
        <v>63</v>
      </c>
      <c r="D55" s="29">
        <v>14</v>
      </c>
      <c r="E55" s="29">
        <v>1000</v>
      </c>
      <c r="F55" s="29">
        <v>6000</v>
      </c>
      <c r="G55" s="30"/>
      <c r="H55" s="30"/>
      <c r="M55" s="32">
        <v>6000</v>
      </c>
    </row>
    <row r="56" spans="1:13" ht="15.75" hidden="1" thickBot="1" x14ac:dyDescent="0.3">
      <c r="A56" s="9">
        <v>1</v>
      </c>
      <c r="B56" s="10">
        <v>501</v>
      </c>
      <c r="C56" s="11" t="s">
        <v>64</v>
      </c>
      <c r="D56" s="10">
        <v>1</v>
      </c>
      <c r="E56" s="10">
        <v>1000</v>
      </c>
      <c r="F56" s="10">
        <v>6500</v>
      </c>
      <c r="G56" s="22">
        <v>6500</v>
      </c>
      <c r="H56" s="11" t="s">
        <v>9</v>
      </c>
      <c r="I56" s="26">
        <v>6500</v>
      </c>
    </row>
    <row r="57" spans="1:13" ht="15.75" hidden="1" thickBot="1" x14ac:dyDescent="0.3">
      <c r="A57" s="5">
        <v>2</v>
      </c>
      <c r="B57" s="6">
        <v>501</v>
      </c>
      <c r="C57" s="7" t="s">
        <v>65</v>
      </c>
      <c r="D57" s="6">
        <v>1</v>
      </c>
      <c r="E57" s="6">
        <v>1000</v>
      </c>
      <c r="F57" s="6">
        <v>4500</v>
      </c>
      <c r="G57" s="8">
        <v>4500</v>
      </c>
      <c r="H57" s="21" t="s">
        <v>9</v>
      </c>
      <c r="I57" s="26">
        <v>4500</v>
      </c>
    </row>
    <row r="58" spans="1:13" ht="15.75" hidden="1" thickBot="1" x14ac:dyDescent="0.3">
      <c r="A58" s="5">
        <v>3</v>
      </c>
      <c r="B58" s="6">
        <v>501</v>
      </c>
      <c r="C58" s="7" t="s">
        <v>66</v>
      </c>
      <c r="D58" s="6">
        <v>1</v>
      </c>
      <c r="E58" s="6">
        <v>1000</v>
      </c>
      <c r="F58" s="6">
        <v>6000</v>
      </c>
      <c r="G58" s="6">
        <v>6000</v>
      </c>
      <c r="H58" s="7" t="s">
        <v>9</v>
      </c>
      <c r="I58" s="26">
        <v>6000</v>
      </c>
    </row>
    <row r="59" spans="1:13" ht="15.75" hidden="1" thickBot="1" x14ac:dyDescent="0.3">
      <c r="A59" s="5">
        <v>4</v>
      </c>
      <c r="B59" s="6">
        <v>501</v>
      </c>
      <c r="C59" s="7" t="s">
        <v>67</v>
      </c>
      <c r="D59" s="6">
        <v>6</v>
      </c>
      <c r="E59" s="6">
        <v>1000</v>
      </c>
      <c r="F59" s="6">
        <v>6500</v>
      </c>
      <c r="G59" s="6">
        <v>6600</v>
      </c>
      <c r="H59" s="7" t="s">
        <v>9</v>
      </c>
      <c r="I59" s="26">
        <v>6600</v>
      </c>
    </row>
    <row r="60" spans="1:13" ht="15.75" hidden="1" thickBot="1" x14ac:dyDescent="0.3">
      <c r="A60" s="5">
        <v>5</v>
      </c>
      <c r="B60" s="6">
        <v>501</v>
      </c>
      <c r="C60" s="7" t="s">
        <v>68</v>
      </c>
      <c r="D60" s="6">
        <v>31</v>
      </c>
      <c r="E60" s="6">
        <v>1000</v>
      </c>
      <c r="F60" s="6">
        <v>6000</v>
      </c>
      <c r="G60" s="6">
        <v>7100</v>
      </c>
      <c r="H60" s="7" t="s">
        <v>9</v>
      </c>
      <c r="I60" s="26">
        <v>7100</v>
      </c>
    </row>
    <row r="61" spans="1:13" ht="15.75" hidden="1" thickBot="1" x14ac:dyDescent="0.3">
      <c r="A61" s="5">
        <v>6</v>
      </c>
      <c r="B61" s="6">
        <v>501</v>
      </c>
      <c r="C61" s="7" t="s">
        <v>69</v>
      </c>
      <c r="D61" s="6">
        <v>2</v>
      </c>
      <c r="E61" s="6">
        <v>1000</v>
      </c>
      <c r="F61" s="6">
        <v>6000</v>
      </c>
      <c r="G61" s="8">
        <v>6500</v>
      </c>
      <c r="H61" s="21" t="s">
        <v>9</v>
      </c>
      <c r="I61" s="26">
        <v>6500</v>
      </c>
    </row>
    <row r="62" spans="1:13" ht="15.75" hidden="1" thickBot="1" x14ac:dyDescent="0.3">
      <c r="A62" s="9">
        <v>1</v>
      </c>
      <c r="B62" s="10">
        <v>502</v>
      </c>
      <c r="C62" s="11" t="s">
        <v>70</v>
      </c>
      <c r="D62" s="10">
        <v>1</v>
      </c>
      <c r="E62" s="10">
        <v>1000</v>
      </c>
      <c r="F62" s="10">
        <v>7500</v>
      </c>
      <c r="G62" s="23">
        <v>7500</v>
      </c>
      <c r="H62" s="24" t="s">
        <v>9</v>
      </c>
      <c r="I62" s="26">
        <v>7500</v>
      </c>
    </row>
    <row r="63" spans="1:13" ht="15.75" hidden="1" thickBot="1" x14ac:dyDescent="0.3">
      <c r="A63" s="5">
        <v>2</v>
      </c>
      <c r="B63" s="6">
        <v>502</v>
      </c>
      <c r="C63" s="7" t="s">
        <v>71</v>
      </c>
      <c r="D63" s="6">
        <v>3</v>
      </c>
      <c r="E63" s="6">
        <v>1000</v>
      </c>
      <c r="F63" s="6">
        <v>6500</v>
      </c>
      <c r="G63" s="6">
        <v>6500</v>
      </c>
      <c r="H63" s="7" t="s">
        <v>9</v>
      </c>
      <c r="I63" s="26">
        <v>6500</v>
      </c>
    </row>
    <row r="64" spans="1:13" ht="15.75" hidden="1" thickBot="1" x14ac:dyDescent="0.3">
      <c r="A64" s="5">
        <v>3</v>
      </c>
      <c r="B64" s="6">
        <v>502</v>
      </c>
      <c r="C64" s="7" t="s">
        <v>72</v>
      </c>
      <c r="D64" s="6">
        <v>1</v>
      </c>
      <c r="E64" s="6">
        <v>1000</v>
      </c>
      <c r="F64" s="6">
        <v>6500</v>
      </c>
      <c r="G64" s="8">
        <v>6500</v>
      </c>
      <c r="H64" s="21" t="s">
        <v>9</v>
      </c>
      <c r="I64" s="26">
        <v>6500</v>
      </c>
    </row>
    <row r="65" spans="1:13" ht="15.75" hidden="1" thickBot="1" x14ac:dyDescent="0.3">
      <c r="A65" s="5">
        <v>4</v>
      </c>
      <c r="B65" s="6">
        <v>502</v>
      </c>
      <c r="C65" s="7" t="s">
        <v>73</v>
      </c>
      <c r="D65" s="6">
        <v>1</v>
      </c>
      <c r="E65" s="6">
        <v>1000</v>
      </c>
      <c r="F65" s="6">
        <v>7500</v>
      </c>
      <c r="G65" s="6">
        <v>7500</v>
      </c>
      <c r="H65" s="7" t="s">
        <v>9</v>
      </c>
      <c r="I65" s="26">
        <v>7500</v>
      </c>
    </row>
    <row r="66" spans="1:13" ht="15.75" hidden="1" thickBot="1" x14ac:dyDescent="0.3">
      <c r="A66" s="14">
        <v>5</v>
      </c>
      <c r="B66" s="15">
        <v>502</v>
      </c>
      <c r="C66" s="16" t="s">
        <v>40</v>
      </c>
      <c r="D66" s="15">
        <v>11</v>
      </c>
      <c r="E66" s="15">
        <v>1000</v>
      </c>
      <c r="F66" s="15">
        <v>6500</v>
      </c>
      <c r="G66" s="16"/>
      <c r="H66" s="16"/>
    </row>
    <row r="67" spans="1:13" ht="15.75" hidden="1" thickBot="1" x14ac:dyDescent="0.3">
      <c r="A67" s="5">
        <v>6</v>
      </c>
      <c r="B67" s="6">
        <v>502</v>
      </c>
      <c r="C67" s="7" t="s">
        <v>74</v>
      </c>
      <c r="D67" s="6">
        <v>8</v>
      </c>
      <c r="E67" s="6">
        <v>1000</v>
      </c>
      <c r="F67" s="7"/>
      <c r="G67" s="6">
        <v>1000</v>
      </c>
      <c r="H67" s="7" t="s">
        <v>9</v>
      </c>
    </row>
    <row r="68" spans="1:13" s="32" customFormat="1" ht="15.75" thickBot="1" x14ac:dyDescent="0.3">
      <c r="A68" s="28">
        <v>7</v>
      </c>
      <c r="B68" s="29">
        <v>502</v>
      </c>
      <c r="C68" s="30" t="s">
        <v>75</v>
      </c>
      <c r="D68" s="29">
        <v>28</v>
      </c>
      <c r="E68" s="29">
        <v>2000</v>
      </c>
      <c r="F68" s="29">
        <v>6500</v>
      </c>
      <c r="G68" s="29">
        <v>5000</v>
      </c>
      <c r="H68" s="30" t="s">
        <v>9</v>
      </c>
      <c r="I68" s="37">
        <v>5000</v>
      </c>
      <c r="M68" s="32">
        <v>2500</v>
      </c>
    </row>
    <row r="69" spans="1:13" ht="15.75" hidden="1" thickBot="1" x14ac:dyDescent="0.3">
      <c r="A69" s="9">
        <v>1</v>
      </c>
      <c r="B69" s="10">
        <v>701</v>
      </c>
      <c r="C69" s="11"/>
      <c r="D69" s="10">
        <v>1</v>
      </c>
      <c r="E69" s="10">
        <v>1000</v>
      </c>
      <c r="F69" s="10">
        <v>6000</v>
      </c>
      <c r="G69" s="10">
        <v>6000</v>
      </c>
      <c r="H69" s="11" t="s">
        <v>9</v>
      </c>
    </row>
    <row r="70" spans="1:13" ht="15.75" hidden="1" thickBot="1" x14ac:dyDescent="0.3">
      <c r="A70" s="5">
        <v>2</v>
      </c>
      <c r="B70" s="6">
        <v>701</v>
      </c>
      <c r="C70" s="7"/>
      <c r="D70" s="6">
        <v>1</v>
      </c>
      <c r="E70" s="6">
        <v>1000</v>
      </c>
      <c r="F70" s="6">
        <v>6000</v>
      </c>
      <c r="G70" s="6">
        <v>6000</v>
      </c>
      <c r="H70" s="7" t="s">
        <v>9</v>
      </c>
    </row>
    <row r="71" spans="1:13" ht="15.75" hidden="1" thickBot="1" x14ac:dyDescent="0.3">
      <c r="A71" s="5">
        <v>3</v>
      </c>
      <c r="B71" s="6">
        <v>701</v>
      </c>
      <c r="C71" s="7"/>
      <c r="D71" s="6">
        <v>1</v>
      </c>
      <c r="E71" s="6">
        <v>1000</v>
      </c>
      <c r="F71" s="6">
        <v>6000</v>
      </c>
      <c r="G71" s="6">
        <v>6000</v>
      </c>
      <c r="H71" s="7" t="s">
        <v>9</v>
      </c>
    </row>
    <row r="72" spans="1:13" ht="15.75" hidden="1" thickBot="1" x14ac:dyDescent="0.3">
      <c r="A72" s="5">
        <v>4</v>
      </c>
      <c r="B72" s="6">
        <v>701</v>
      </c>
      <c r="C72" s="7"/>
      <c r="D72" s="6">
        <v>1</v>
      </c>
      <c r="E72" s="6">
        <v>1000</v>
      </c>
      <c r="F72" s="6">
        <v>6000</v>
      </c>
      <c r="G72" s="6">
        <v>6000</v>
      </c>
      <c r="H72" s="7" t="s">
        <v>9</v>
      </c>
    </row>
    <row r="73" spans="1:13" ht="15.75" hidden="1" thickBot="1" x14ac:dyDescent="0.3">
      <c r="A73" s="5">
        <v>5</v>
      </c>
      <c r="B73" s="6">
        <v>701</v>
      </c>
      <c r="C73" s="7"/>
      <c r="D73" s="7"/>
      <c r="E73" s="7"/>
      <c r="F73" s="7"/>
      <c r="G73" s="6">
        <v>2400</v>
      </c>
      <c r="H73" s="7" t="s">
        <v>9</v>
      </c>
    </row>
  </sheetData>
  <autoFilter ref="A1:M73" xr:uid="{1D770687-AC5D-44E1-B409-5A2E67146634}">
    <filterColumn colId="1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F3A1-70C3-4028-9650-15D0A7249283}">
  <dimension ref="A1:N26"/>
  <sheetViews>
    <sheetView tabSelected="1" topLeftCell="A13" workbookViewId="0">
      <selection activeCell="K29" sqref="K29"/>
    </sheetView>
  </sheetViews>
  <sheetFormatPr defaultRowHeight="15" x14ac:dyDescent="0.25"/>
  <cols>
    <col min="1" max="1" width="16.28515625" bestFit="1" customWidth="1"/>
    <col min="4" max="4" width="11.28515625" bestFit="1" customWidth="1"/>
    <col min="13" max="13" width="11.85546875" bestFit="1" customWidth="1"/>
  </cols>
  <sheetData>
    <row r="1" spans="1:8" x14ac:dyDescent="0.25">
      <c r="B1" t="s">
        <v>76</v>
      </c>
      <c r="E1" t="s">
        <v>77</v>
      </c>
      <c r="H1" t="s">
        <v>78</v>
      </c>
    </row>
    <row r="2" spans="1:8" x14ac:dyDescent="0.25">
      <c r="A2">
        <v>101</v>
      </c>
      <c r="B2">
        <v>28800</v>
      </c>
      <c r="D2">
        <v>101</v>
      </c>
      <c r="E2">
        <v>0</v>
      </c>
      <c r="G2">
        <v>101</v>
      </c>
      <c r="H2">
        <v>0</v>
      </c>
    </row>
    <row r="3" spans="1:8" x14ac:dyDescent="0.25">
      <c r="A3">
        <v>102</v>
      </c>
      <c r="B3">
        <v>35200</v>
      </c>
      <c r="D3">
        <v>102</v>
      </c>
      <c r="E3">
        <v>0</v>
      </c>
      <c r="G3">
        <v>102</v>
      </c>
      <c r="H3">
        <v>0</v>
      </c>
    </row>
    <row r="4" spans="1:8" x14ac:dyDescent="0.25">
      <c r="A4">
        <v>201</v>
      </c>
      <c r="B4">
        <v>14000</v>
      </c>
      <c r="D4">
        <v>201</v>
      </c>
      <c r="E4">
        <v>12000</v>
      </c>
      <c r="G4">
        <v>201</v>
      </c>
      <c r="H4">
        <v>4500</v>
      </c>
    </row>
    <row r="5" spans="1:8" x14ac:dyDescent="0.25">
      <c r="A5">
        <v>202</v>
      </c>
      <c r="B5">
        <v>23500</v>
      </c>
      <c r="D5">
        <v>202</v>
      </c>
      <c r="E5">
        <v>5500</v>
      </c>
      <c r="G5">
        <v>202</v>
      </c>
      <c r="H5">
        <v>0</v>
      </c>
    </row>
    <row r="6" spans="1:8" x14ac:dyDescent="0.25">
      <c r="A6">
        <v>301</v>
      </c>
      <c r="B6">
        <v>40500</v>
      </c>
      <c r="D6">
        <v>301</v>
      </c>
      <c r="E6">
        <v>3500</v>
      </c>
      <c r="G6">
        <v>301</v>
      </c>
      <c r="H6">
        <v>0</v>
      </c>
    </row>
    <row r="7" spans="1:8" x14ac:dyDescent="0.25">
      <c r="A7">
        <v>302</v>
      </c>
      <c r="B7">
        <v>29000</v>
      </c>
      <c r="D7">
        <v>302</v>
      </c>
      <c r="E7">
        <v>7000</v>
      </c>
      <c r="G7">
        <v>302</v>
      </c>
      <c r="H7">
        <v>0</v>
      </c>
    </row>
    <row r="8" spans="1:8" x14ac:dyDescent="0.25">
      <c r="A8">
        <v>401</v>
      </c>
      <c r="B8">
        <v>32000</v>
      </c>
      <c r="D8">
        <v>401</v>
      </c>
      <c r="E8">
        <v>0</v>
      </c>
      <c r="G8">
        <v>401</v>
      </c>
      <c r="H8">
        <v>0</v>
      </c>
    </row>
    <row r="9" spans="1:8" x14ac:dyDescent="0.25">
      <c r="A9">
        <v>402</v>
      </c>
      <c r="B9">
        <v>23250</v>
      </c>
      <c r="D9">
        <v>402</v>
      </c>
      <c r="E9">
        <v>0</v>
      </c>
      <c r="G9">
        <v>402</v>
      </c>
      <c r="H9">
        <v>6000</v>
      </c>
    </row>
    <row r="10" spans="1:8" x14ac:dyDescent="0.25">
      <c r="A10">
        <v>501</v>
      </c>
      <c r="B10">
        <v>37200</v>
      </c>
      <c r="D10">
        <v>501</v>
      </c>
      <c r="E10">
        <v>0</v>
      </c>
      <c r="G10">
        <v>501</v>
      </c>
      <c r="H10">
        <v>0</v>
      </c>
    </row>
    <row r="11" spans="1:8" x14ac:dyDescent="0.25">
      <c r="A11">
        <v>502</v>
      </c>
      <c r="B11">
        <v>33000</v>
      </c>
      <c r="D11">
        <v>502</v>
      </c>
      <c r="E11">
        <v>0</v>
      </c>
      <c r="G11">
        <v>502</v>
      </c>
      <c r="H11">
        <v>0</v>
      </c>
    </row>
    <row r="12" spans="1:8" s="38" customFormat="1" x14ac:dyDescent="0.25">
      <c r="A12" s="38">
        <v>602</v>
      </c>
      <c r="B12" s="38">
        <v>10000</v>
      </c>
      <c r="D12" s="38">
        <v>602</v>
      </c>
      <c r="E12" s="38">
        <v>0</v>
      </c>
      <c r="G12" s="38">
        <v>602</v>
      </c>
      <c r="H12" s="38">
        <v>0</v>
      </c>
    </row>
    <row r="13" spans="1:8" x14ac:dyDescent="0.25">
      <c r="A13">
        <v>701</v>
      </c>
      <c r="B13">
        <v>24000</v>
      </c>
      <c r="D13">
        <v>701</v>
      </c>
      <c r="E13">
        <v>0</v>
      </c>
      <c r="G13">
        <v>701</v>
      </c>
      <c r="H13">
        <v>0</v>
      </c>
    </row>
    <row r="14" spans="1:8" x14ac:dyDescent="0.25">
      <c r="E14">
        <v>28000</v>
      </c>
    </row>
    <row r="15" spans="1:8" x14ac:dyDescent="0.25">
      <c r="D15" t="s">
        <v>85</v>
      </c>
      <c r="E15">
        <v>47000</v>
      </c>
    </row>
    <row r="16" spans="1:8" x14ac:dyDescent="0.25">
      <c r="D16" t="s">
        <v>88</v>
      </c>
      <c r="E16">
        <v>1000</v>
      </c>
    </row>
    <row r="17" spans="1:14" x14ac:dyDescent="0.25">
      <c r="A17" t="s">
        <v>83</v>
      </c>
      <c r="B17">
        <v>330450</v>
      </c>
      <c r="D17" t="s">
        <v>83</v>
      </c>
      <c r="E17">
        <f>E15+E14+E16</f>
        <v>76000</v>
      </c>
      <c r="H17">
        <v>10500</v>
      </c>
      <c r="J17">
        <v>368950</v>
      </c>
      <c r="M17">
        <v>28000</v>
      </c>
    </row>
    <row r="18" spans="1:14" x14ac:dyDescent="0.25">
      <c r="A18" t="s">
        <v>80</v>
      </c>
      <c r="B18">
        <v>199000</v>
      </c>
      <c r="D18" t="s">
        <v>81</v>
      </c>
      <c r="E18">
        <v>90145</v>
      </c>
      <c r="H18">
        <v>9025</v>
      </c>
      <c r="M18">
        <v>12000</v>
      </c>
    </row>
    <row r="19" spans="1:14" x14ac:dyDescent="0.25">
      <c r="A19" t="s">
        <v>81</v>
      </c>
      <c r="B19">
        <v>68584</v>
      </c>
      <c r="H19">
        <f>H17-H18</f>
        <v>1475</v>
      </c>
      <c r="M19">
        <v>7000</v>
      </c>
    </row>
    <row r="20" spans="1:14" x14ac:dyDescent="0.25">
      <c r="A20" t="s">
        <v>82</v>
      </c>
      <c r="B20">
        <v>47000</v>
      </c>
    </row>
    <row r="21" spans="1:14" x14ac:dyDescent="0.25">
      <c r="A21" t="s">
        <v>84</v>
      </c>
      <c r="B21">
        <v>314584</v>
      </c>
    </row>
    <row r="22" spans="1:14" x14ac:dyDescent="0.25">
      <c r="A22" t="s">
        <v>86</v>
      </c>
      <c r="B22">
        <f>B17-B21</f>
        <v>15866</v>
      </c>
      <c r="D22" t="s">
        <v>86</v>
      </c>
      <c r="E22">
        <f>E17-E18</f>
        <v>-14145</v>
      </c>
      <c r="G22" t="s">
        <v>86</v>
      </c>
      <c r="H22">
        <v>1475</v>
      </c>
      <c r="I22">
        <f>B22+E22+H22</f>
        <v>3196</v>
      </c>
      <c r="M22" t="s">
        <v>87</v>
      </c>
      <c r="N22">
        <v>39150</v>
      </c>
    </row>
    <row r="23" spans="1:14" x14ac:dyDescent="0.25">
      <c r="M23" t="s">
        <v>39</v>
      </c>
      <c r="N23">
        <v>6000</v>
      </c>
    </row>
    <row r="24" spans="1:14" x14ac:dyDescent="0.25">
      <c r="B24">
        <f>B22+E22</f>
        <v>1721</v>
      </c>
    </row>
    <row r="26" spans="1:14" x14ac:dyDescent="0.25">
      <c r="A26" t="s">
        <v>89</v>
      </c>
      <c r="B26">
        <f>B24+H22+N22+N23</f>
        <v>48346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Balaji Raju</dc:creator>
  <cp:lastModifiedBy>K Balaji Raju</cp:lastModifiedBy>
  <dcterms:created xsi:type="dcterms:W3CDTF">2025-09-30T13:17:32Z</dcterms:created>
  <dcterms:modified xsi:type="dcterms:W3CDTF">2025-09-30T15:46:34Z</dcterms:modified>
</cp:coreProperties>
</file>