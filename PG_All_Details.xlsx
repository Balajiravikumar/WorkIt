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alajiRaju_hahrytk\Documents\balaji\"/>
    </mc:Choice>
  </mc:AlternateContent>
  <xr:revisionPtr revIDLastSave="0" documentId="13_ncr:1_{7B23E9C4-3AF3-45EE-81D5-4ADBED4B0AC8}" xr6:coauthVersionLast="47" xr6:coauthVersionMax="47" xr10:uidLastSave="{00000000-0000-0000-0000-000000000000}"/>
  <bookViews>
    <workbookView xWindow="-120" yWindow="-120" windowWidth="20730" windowHeight="11040" firstSheet="1" activeTab="1" xr2:uid="{2D4C06F4-E8B8-49D8-B245-4542AFB298FF}"/>
  </bookViews>
  <sheets>
    <sheet name="All Data" sheetId="1" r:id="rId1"/>
    <sheet name="Aug summary" sheetId="15" r:id="rId2"/>
    <sheet name="sep" sheetId="16" r:id="rId3"/>
    <sheet name="102" sheetId="2" r:id="rId4"/>
    <sheet name="201" sheetId="3" r:id="rId5"/>
    <sheet name="202" sheetId="4" r:id="rId6"/>
    <sheet name="301" sheetId="5" r:id="rId7"/>
    <sheet name="302" sheetId="6" r:id="rId8"/>
    <sheet name="401" sheetId="7" r:id="rId9"/>
    <sheet name="402" sheetId="8" r:id="rId10"/>
    <sheet name="501" sheetId="9" r:id="rId11"/>
    <sheet name="502" sheetId="10" r:id="rId12"/>
    <sheet name="602" sheetId="13" r:id="rId13"/>
    <sheet name="701" sheetId="14" r:id="rId14"/>
  </sheets>
  <definedNames>
    <definedName name="_xlnm._FilterDatabase" localSheetId="0" hidden="1">'All Data'!$A$1:$N$66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5" l="1"/>
  <c r="J10" i="15"/>
  <c r="J11" i="15"/>
  <c r="H14" i="15"/>
  <c r="D11" i="15"/>
  <c r="D13" i="15"/>
  <c r="B11" i="15"/>
  <c r="D22" i="15"/>
  <c r="D21" i="15"/>
  <c r="D20" i="15"/>
  <c r="K14" i="15"/>
  <c r="J7" i="15"/>
  <c r="H6" i="15"/>
  <c r="G14" i="15"/>
  <c r="H12" i="15"/>
  <c r="P11" i="15"/>
  <c r="H11" i="15"/>
  <c r="K11" i="15" s="1"/>
  <c r="F10" i="15"/>
  <c r="H10" i="15" s="1"/>
  <c r="K10" i="15" s="1"/>
  <c r="B6" i="15"/>
  <c r="N32" i="1"/>
  <c r="L70" i="1"/>
  <c r="F72" i="1"/>
  <c r="G68" i="1"/>
  <c r="F68" i="1"/>
  <c r="H17" i="15" l="1"/>
  <c r="H68" i="1"/>
  <c r="F73" i="1"/>
  <c r="I71" i="1"/>
</calcChain>
</file>

<file path=xl/sharedStrings.xml><?xml version="1.0" encoding="utf-8"?>
<sst xmlns="http://schemas.openxmlformats.org/spreadsheetml/2006/main" count="364" uniqueCount="103">
  <si>
    <t>Room No</t>
  </si>
  <si>
    <t>Name</t>
  </si>
  <si>
    <t>Date of joining</t>
  </si>
  <si>
    <t>pasha</t>
  </si>
  <si>
    <t>Rent</t>
  </si>
  <si>
    <t>Advance</t>
  </si>
  <si>
    <t>basava raj</t>
  </si>
  <si>
    <t>vamshi</t>
  </si>
  <si>
    <t>anjineya</t>
  </si>
  <si>
    <t>Sai</t>
  </si>
  <si>
    <t>swami</t>
  </si>
  <si>
    <t>sonubad</t>
  </si>
  <si>
    <t>abishaik</t>
  </si>
  <si>
    <t>nagaiah</t>
  </si>
  <si>
    <t>preetham</t>
  </si>
  <si>
    <t>chandrarao</t>
  </si>
  <si>
    <t>vijay</t>
  </si>
  <si>
    <t>barath</t>
  </si>
  <si>
    <t>ramu</t>
  </si>
  <si>
    <t>sravan</t>
  </si>
  <si>
    <t>hasha vardhan</t>
  </si>
  <si>
    <t>john</t>
  </si>
  <si>
    <t>ramesh</t>
  </si>
  <si>
    <t>laxman</t>
  </si>
  <si>
    <t>shubam</t>
  </si>
  <si>
    <t>MD Abdul</t>
  </si>
  <si>
    <t>MD hidya thulla</t>
  </si>
  <si>
    <t>nitish Kumar</t>
  </si>
  <si>
    <t>sai dath</t>
  </si>
  <si>
    <t>pradeep</t>
  </si>
  <si>
    <t>aravindh</t>
  </si>
  <si>
    <t>paremsh</t>
  </si>
  <si>
    <t>sreekanth</t>
  </si>
  <si>
    <t>surya chandra</t>
  </si>
  <si>
    <t>gopi</t>
  </si>
  <si>
    <t>dhayanandh</t>
  </si>
  <si>
    <t>manikanta</t>
  </si>
  <si>
    <t>Rajesh</t>
  </si>
  <si>
    <t>suraj</t>
  </si>
  <si>
    <t>harish</t>
  </si>
  <si>
    <t>sai kiran</t>
  </si>
  <si>
    <t>arun</t>
  </si>
  <si>
    <t>rajashekar</t>
  </si>
  <si>
    <t>swasthik</t>
  </si>
  <si>
    <t>kumaraSwami</t>
  </si>
  <si>
    <t>raj Reddy</t>
  </si>
  <si>
    <t>Masthan</t>
  </si>
  <si>
    <t>akilesh Yadav</t>
  </si>
  <si>
    <t>Mayank</t>
  </si>
  <si>
    <t>govindh</t>
  </si>
  <si>
    <t>hussain</t>
  </si>
  <si>
    <t>nagendra Vamshi</t>
  </si>
  <si>
    <t>sai</t>
  </si>
  <si>
    <t>S.no</t>
  </si>
  <si>
    <t>Venkat Reddy</t>
  </si>
  <si>
    <t>Beds</t>
  </si>
  <si>
    <t>Cots</t>
  </si>
  <si>
    <t>cots</t>
  </si>
  <si>
    <t>Hotel</t>
  </si>
  <si>
    <t>thulasi</t>
  </si>
  <si>
    <t>sai duth</t>
  </si>
  <si>
    <t>Aug</t>
  </si>
  <si>
    <t>Paramesh</t>
  </si>
  <si>
    <t>Govindh</t>
  </si>
  <si>
    <t>ayush</t>
  </si>
  <si>
    <t>praveen</t>
  </si>
  <si>
    <t>rohan</t>
  </si>
  <si>
    <t>new</t>
  </si>
  <si>
    <t>Srinu</t>
  </si>
  <si>
    <t>Balaji</t>
  </si>
  <si>
    <t>Ravi</t>
  </si>
  <si>
    <t>Anna</t>
  </si>
  <si>
    <t>unknown</t>
  </si>
  <si>
    <t>Krishnakanth</t>
  </si>
  <si>
    <t>Vikram</t>
  </si>
  <si>
    <t>yaswanth</t>
  </si>
  <si>
    <t>s</t>
  </si>
  <si>
    <t>r</t>
  </si>
  <si>
    <t>b</t>
  </si>
  <si>
    <t>balaji</t>
  </si>
  <si>
    <t>ravi</t>
  </si>
  <si>
    <t>anna</t>
  </si>
  <si>
    <t>to ravi</t>
  </si>
  <si>
    <t>expenditure</t>
  </si>
  <si>
    <t>cash</t>
  </si>
  <si>
    <t>total</t>
  </si>
  <si>
    <t>online</t>
  </si>
  <si>
    <t>For Sep</t>
  </si>
  <si>
    <t>paid to</t>
  </si>
  <si>
    <t>Received total</t>
  </si>
  <si>
    <t>Left Amount</t>
  </si>
  <si>
    <t>last month balance</t>
  </si>
  <si>
    <t>Desc</t>
  </si>
  <si>
    <t>advance</t>
  </si>
  <si>
    <t>Rent amount</t>
  </si>
  <si>
    <t>beds</t>
  </si>
  <si>
    <t>Piyush</t>
  </si>
  <si>
    <t>needs to pay advance</t>
  </si>
  <si>
    <t>for sep 7400</t>
  </si>
  <si>
    <t>Yaswant</t>
  </si>
  <si>
    <t>vikram</t>
  </si>
  <si>
    <t>Grand Total</t>
  </si>
  <si>
    <t>yet to receive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</si>
</sst>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" fontId="0" fillId="0" borderId="0" xfId="0" applyNumberForma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6221-521E-4F6E-8D57-2A6FEC58691C}">
  <sheetPr filterMode="1"/>
  <dimension ref="A1:N73"/>
  <sheetViews>
    <sheetView workbookViewId="0">
      <selection activeCell="F53" sqref="F53"/>
    </sheetView>
  </sheetViews>
  <sheetFormatPr defaultRowHeight="15" x14ac:dyDescent="0.25"/>
  <cols>
    <col min="2" max="2" width="20.28515625" customWidth="1"/>
    <col min="3" max="3" width="13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61</v>
      </c>
      <c r="G1" s="1"/>
    </row>
    <row r="2" spans="1:8" hidden="1" x14ac:dyDescent="0.25">
      <c r="A2">
        <v>101</v>
      </c>
      <c r="B2" t="s">
        <v>58</v>
      </c>
      <c r="C2">
        <v>1</v>
      </c>
      <c r="D2">
        <v>16000</v>
      </c>
      <c r="E2">
        <v>32000</v>
      </c>
      <c r="F2">
        <v>32000</v>
      </c>
      <c r="H2" t="s">
        <v>76</v>
      </c>
    </row>
    <row r="3" spans="1:8" hidden="1" x14ac:dyDescent="0.25">
      <c r="A3">
        <v>102</v>
      </c>
      <c r="B3" t="s">
        <v>3</v>
      </c>
      <c r="C3">
        <v>27</v>
      </c>
      <c r="D3">
        <v>1000</v>
      </c>
      <c r="E3">
        <v>6000</v>
      </c>
      <c r="F3">
        <v>4000</v>
      </c>
      <c r="G3">
        <v>2000</v>
      </c>
      <c r="H3" t="s">
        <v>76</v>
      </c>
    </row>
    <row r="4" spans="1:8" hidden="1" x14ac:dyDescent="0.25">
      <c r="A4">
        <v>102</v>
      </c>
      <c r="B4" t="s">
        <v>6</v>
      </c>
      <c r="C4">
        <v>1</v>
      </c>
      <c r="D4">
        <v>1000</v>
      </c>
      <c r="E4">
        <v>6000</v>
      </c>
      <c r="F4">
        <v>6000</v>
      </c>
      <c r="H4" t="s">
        <v>77</v>
      </c>
    </row>
    <row r="5" spans="1:8" hidden="1" x14ac:dyDescent="0.25">
      <c r="A5">
        <v>102</v>
      </c>
      <c r="B5" t="s">
        <v>7</v>
      </c>
      <c r="C5">
        <v>20</v>
      </c>
      <c r="D5">
        <v>1000</v>
      </c>
      <c r="E5">
        <v>6000</v>
      </c>
      <c r="F5">
        <v>6000</v>
      </c>
      <c r="H5" t="s">
        <v>76</v>
      </c>
    </row>
    <row r="6" spans="1:8" hidden="1" x14ac:dyDescent="0.25">
      <c r="A6">
        <v>102</v>
      </c>
      <c r="B6" t="s">
        <v>8</v>
      </c>
      <c r="C6">
        <v>27</v>
      </c>
      <c r="D6">
        <v>1000</v>
      </c>
      <c r="E6">
        <v>6000</v>
      </c>
      <c r="G6">
        <v>6000</v>
      </c>
    </row>
    <row r="7" spans="1:8" hidden="1" x14ac:dyDescent="0.25">
      <c r="A7">
        <v>102</v>
      </c>
      <c r="B7" t="s">
        <v>12</v>
      </c>
      <c r="C7">
        <v>31</v>
      </c>
      <c r="D7">
        <v>2000</v>
      </c>
      <c r="E7">
        <v>6000</v>
      </c>
      <c r="F7">
        <v>2000</v>
      </c>
      <c r="G7" t="s">
        <v>67</v>
      </c>
      <c r="H7" t="s">
        <v>77</v>
      </c>
    </row>
    <row r="8" spans="1:8" hidden="1" x14ac:dyDescent="0.25">
      <c r="A8">
        <v>102</v>
      </c>
      <c r="B8" t="s">
        <v>64</v>
      </c>
      <c r="C8">
        <v>31</v>
      </c>
      <c r="D8">
        <v>2000</v>
      </c>
      <c r="E8">
        <v>6000</v>
      </c>
      <c r="F8">
        <v>2000</v>
      </c>
      <c r="G8" t="s">
        <v>67</v>
      </c>
      <c r="H8" t="s">
        <v>77</v>
      </c>
    </row>
    <row r="9" spans="1:8" hidden="1" x14ac:dyDescent="0.25">
      <c r="A9">
        <v>102</v>
      </c>
      <c r="B9" t="s">
        <v>65</v>
      </c>
      <c r="C9">
        <v>31</v>
      </c>
      <c r="D9">
        <v>2000</v>
      </c>
      <c r="E9">
        <v>6000</v>
      </c>
      <c r="F9">
        <v>2000</v>
      </c>
      <c r="G9" t="s">
        <v>67</v>
      </c>
      <c r="H9" t="s">
        <v>77</v>
      </c>
    </row>
    <row r="10" spans="1:8" hidden="1" x14ac:dyDescent="0.25">
      <c r="A10">
        <v>102</v>
      </c>
      <c r="B10" t="s">
        <v>66</v>
      </c>
      <c r="C10">
        <v>31</v>
      </c>
      <c r="D10">
        <v>2000</v>
      </c>
      <c r="E10">
        <v>6000</v>
      </c>
      <c r="F10">
        <v>1000</v>
      </c>
      <c r="G10" t="s">
        <v>67</v>
      </c>
      <c r="H10" t="s">
        <v>77</v>
      </c>
    </row>
    <row r="11" spans="1:8" hidden="1" x14ac:dyDescent="0.25">
      <c r="A11">
        <v>201</v>
      </c>
      <c r="B11" t="s">
        <v>9</v>
      </c>
      <c r="C11">
        <v>6</v>
      </c>
      <c r="D11">
        <v>1000</v>
      </c>
      <c r="E11">
        <v>6500</v>
      </c>
      <c r="F11">
        <v>6500</v>
      </c>
      <c r="H11" t="s">
        <v>76</v>
      </c>
    </row>
    <row r="12" spans="1:8" hidden="1" x14ac:dyDescent="0.25">
      <c r="A12">
        <v>201</v>
      </c>
      <c r="B12" t="s">
        <v>10</v>
      </c>
      <c r="C12">
        <v>8</v>
      </c>
      <c r="D12">
        <v>1000</v>
      </c>
      <c r="E12">
        <v>6500</v>
      </c>
      <c r="F12">
        <v>5000</v>
      </c>
      <c r="G12">
        <v>1500</v>
      </c>
      <c r="H12" t="s">
        <v>77</v>
      </c>
    </row>
    <row r="13" spans="1:8" hidden="1" x14ac:dyDescent="0.25">
      <c r="A13">
        <v>201</v>
      </c>
      <c r="B13" t="s">
        <v>11</v>
      </c>
      <c r="C13">
        <v>1</v>
      </c>
      <c r="D13">
        <v>0</v>
      </c>
      <c r="E13">
        <v>6000</v>
      </c>
      <c r="F13">
        <v>6000</v>
      </c>
      <c r="H13" t="s">
        <v>76</v>
      </c>
    </row>
    <row r="14" spans="1:8" s="5" customFormat="1" hidden="1" x14ac:dyDescent="0.25">
      <c r="A14" s="5">
        <v>201</v>
      </c>
      <c r="B14" s="5" t="s">
        <v>72</v>
      </c>
      <c r="C14" s="5">
        <v>0</v>
      </c>
      <c r="F14" s="5">
        <v>2000</v>
      </c>
    </row>
    <row r="15" spans="1:8" hidden="1" x14ac:dyDescent="0.25">
      <c r="A15">
        <v>201</v>
      </c>
      <c r="B15" t="s">
        <v>12</v>
      </c>
      <c r="C15">
        <v>1</v>
      </c>
      <c r="D15">
        <v>0</v>
      </c>
      <c r="E15">
        <v>6000</v>
      </c>
      <c r="F15">
        <v>6000</v>
      </c>
      <c r="H15" t="s">
        <v>77</v>
      </c>
    </row>
    <row r="16" spans="1:8" hidden="1" x14ac:dyDescent="0.25">
      <c r="A16">
        <v>202</v>
      </c>
      <c r="B16" t="s">
        <v>13</v>
      </c>
      <c r="C16">
        <v>15</v>
      </c>
      <c r="D16">
        <v>1000</v>
      </c>
      <c r="E16">
        <v>6500</v>
      </c>
      <c r="F16">
        <v>6500</v>
      </c>
      <c r="H16" t="s">
        <v>77</v>
      </c>
    </row>
    <row r="17" spans="1:14" hidden="1" x14ac:dyDescent="0.25">
      <c r="A17">
        <v>202</v>
      </c>
      <c r="B17" t="s">
        <v>14</v>
      </c>
      <c r="C17">
        <v>24</v>
      </c>
      <c r="D17">
        <v>2000</v>
      </c>
      <c r="E17">
        <v>7500</v>
      </c>
      <c r="F17">
        <v>7500</v>
      </c>
      <c r="H17" t="s">
        <v>76</v>
      </c>
    </row>
    <row r="18" spans="1:14" hidden="1" x14ac:dyDescent="0.25">
      <c r="A18">
        <v>202</v>
      </c>
      <c r="B18" t="s">
        <v>15</v>
      </c>
      <c r="C18">
        <v>24</v>
      </c>
      <c r="D18">
        <v>2000</v>
      </c>
      <c r="E18">
        <v>7500</v>
      </c>
      <c r="F18">
        <v>7500</v>
      </c>
      <c r="H18" t="s">
        <v>76</v>
      </c>
    </row>
    <row r="19" spans="1:14" hidden="1" x14ac:dyDescent="0.25">
      <c r="A19">
        <v>202</v>
      </c>
      <c r="B19" t="s">
        <v>16</v>
      </c>
      <c r="C19">
        <v>13</v>
      </c>
      <c r="D19">
        <v>1000</v>
      </c>
      <c r="E19">
        <v>6500</v>
      </c>
      <c r="F19">
        <v>6500</v>
      </c>
      <c r="H19" t="s">
        <v>76</v>
      </c>
    </row>
    <row r="20" spans="1:14" hidden="1" x14ac:dyDescent="0.25">
      <c r="A20">
        <v>202</v>
      </c>
      <c r="B20" t="s">
        <v>17</v>
      </c>
      <c r="C20">
        <v>25</v>
      </c>
      <c r="D20">
        <v>1000</v>
      </c>
      <c r="E20">
        <v>6500</v>
      </c>
      <c r="F20">
        <v>6500</v>
      </c>
      <c r="H20" t="s">
        <v>76</v>
      </c>
    </row>
    <row r="21" spans="1:14" hidden="1" x14ac:dyDescent="0.25">
      <c r="A21">
        <v>301</v>
      </c>
      <c r="B21" t="s">
        <v>18</v>
      </c>
      <c r="C21">
        <v>1</v>
      </c>
      <c r="D21">
        <v>1000</v>
      </c>
      <c r="E21">
        <v>6000</v>
      </c>
      <c r="F21">
        <v>6000</v>
      </c>
      <c r="H21" t="s">
        <v>76</v>
      </c>
      <c r="I21" t="s">
        <v>78</v>
      </c>
    </row>
    <row r="22" spans="1:14" hidden="1" x14ac:dyDescent="0.25">
      <c r="A22">
        <v>301</v>
      </c>
      <c r="B22" t="s">
        <v>19</v>
      </c>
      <c r="C22">
        <v>6</v>
      </c>
      <c r="D22">
        <v>1000</v>
      </c>
      <c r="E22">
        <v>6000</v>
      </c>
      <c r="F22">
        <v>6400</v>
      </c>
      <c r="H22" t="s">
        <v>76</v>
      </c>
    </row>
    <row r="23" spans="1:14" hidden="1" x14ac:dyDescent="0.25">
      <c r="A23">
        <v>301</v>
      </c>
      <c r="B23" t="s">
        <v>20</v>
      </c>
      <c r="C23">
        <v>24</v>
      </c>
      <c r="D23">
        <v>1000</v>
      </c>
      <c r="E23">
        <v>6000</v>
      </c>
      <c r="F23">
        <v>6500</v>
      </c>
      <c r="H23" t="s">
        <v>78</v>
      </c>
    </row>
    <row r="24" spans="1:14" hidden="1" x14ac:dyDescent="0.25">
      <c r="A24">
        <v>301</v>
      </c>
      <c r="B24" t="s">
        <v>21</v>
      </c>
      <c r="C24">
        <v>1</v>
      </c>
      <c r="D24">
        <v>1000</v>
      </c>
      <c r="E24">
        <v>6000</v>
      </c>
      <c r="F24">
        <v>6000</v>
      </c>
      <c r="H24" t="s">
        <v>76</v>
      </c>
    </row>
    <row r="25" spans="1:14" hidden="1" x14ac:dyDescent="0.25">
      <c r="A25">
        <v>301</v>
      </c>
      <c r="B25" t="s">
        <v>22</v>
      </c>
      <c r="C25">
        <v>20</v>
      </c>
      <c r="D25">
        <v>0</v>
      </c>
      <c r="E25">
        <v>6000</v>
      </c>
      <c r="F25">
        <v>6000</v>
      </c>
      <c r="H25" t="s">
        <v>77</v>
      </c>
      <c r="I25" t="s">
        <v>76</v>
      </c>
    </row>
    <row r="26" spans="1:14" hidden="1" x14ac:dyDescent="0.25">
      <c r="A26">
        <v>301</v>
      </c>
      <c r="B26" t="s">
        <v>73</v>
      </c>
      <c r="C26">
        <v>24</v>
      </c>
      <c r="F26">
        <v>2500</v>
      </c>
      <c r="H26" t="s">
        <v>77</v>
      </c>
      <c r="I26" t="s">
        <v>76</v>
      </c>
    </row>
    <row r="27" spans="1:14" hidden="1" x14ac:dyDescent="0.25">
      <c r="A27">
        <v>302</v>
      </c>
      <c r="B27" t="s">
        <v>23</v>
      </c>
      <c r="C27">
        <v>6</v>
      </c>
      <c r="D27">
        <v>1000</v>
      </c>
      <c r="E27">
        <v>6500</v>
      </c>
      <c r="F27">
        <v>6500</v>
      </c>
      <c r="H27" t="s">
        <v>77</v>
      </c>
    </row>
    <row r="28" spans="1:14" hidden="1" x14ac:dyDescent="0.25">
      <c r="A28">
        <v>302</v>
      </c>
      <c r="B28" t="s">
        <v>24</v>
      </c>
      <c r="C28">
        <v>11</v>
      </c>
      <c r="D28">
        <v>0</v>
      </c>
      <c r="E28">
        <v>6000</v>
      </c>
      <c r="F28">
        <v>6000</v>
      </c>
      <c r="H28" t="s">
        <v>77</v>
      </c>
    </row>
    <row r="29" spans="1:14" hidden="1" x14ac:dyDescent="0.25">
      <c r="A29">
        <v>302</v>
      </c>
      <c r="B29" t="s">
        <v>25</v>
      </c>
      <c r="C29">
        <v>1</v>
      </c>
      <c r="D29">
        <v>0</v>
      </c>
      <c r="E29">
        <v>6000</v>
      </c>
      <c r="F29">
        <v>6000</v>
      </c>
      <c r="H29" t="s">
        <v>77</v>
      </c>
    </row>
    <row r="30" spans="1:14" hidden="1" x14ac:dyDescent="0.25">
      <c r="A30">
        <v>302</v>
      </c>
      <c r="B30" t="s">
        <v>26</v>
      </c>
      <c r="C30">
        <v>1</v>
      </c>
      <c r="D30">
        <v>0</v>
      </c>
      <c r="E30">
        <v>6000</v>
      </c>
      <c r="F30">
        <v>6000</v>
      </c>
      <c r="H30" t="s">
        <v>77</v>
      </c>
    </row>
    <row r="31" spans="1:14" hidden="1" x14ac:dyDescent="0.25">
      <c r="A31">
        <v>302</v>
      </c>
      <c r="B31" t="s">
        <v>27</v>
      </c>
      <c r="C31">
        <v>1</v>
      </c>
      <c r="D31">
        <v>0</v>
      </c>
      <c r="E31">
        <v>6000</v>
      </c>
      <c r="F31">
        <v>6000</v>
      </c>
      <c r="H31" t="s">
        <v>77</v>
      </c>
    </row>
    <row r="32" spans="1:14" hidden="1" x14ac:dyDescent="0.25">
      <c r="A32">
        <v>302</v>
      </c>
      <c r="B32" t="s">
        <v>60</v>
      </c>
      <c r="C32">
        <v>7</v>
      </c>
      <c r="D32">
        <v>0</v>
      </c>
      <c r="E32">
        <v>6500</v>
      </c>
      <c r="F32">
        <v>9468</v>
      </c>
      <c r="H32" t="s">
        <v>77</v>
      </c>
      <c r="I32" t="s">
        <v>76</v>
      </c>
      <c r="L32">
        <v>6500</v>
      </c>
      <c r="M32">
        <v>2968</v>
      </c>
      <c r="N32">
        <f>L32+M32</f>
        <v>9468</v>
      </c>
    </row>
    <row r="33" spans="1:8" hidden="1" x14ac:dyDescent="0.25">
      <c r="A33">
        <v>302</v>
      </c>
      <c r="B33" t="s">
        <v>29</v>
      </c>
      <c r="C33">
        <v>10</v>
      </c>
      <c r="D33">
        <v>0</v>
      </c>
      <c r="E33">
        <v>6000</v>
      </c>
      <c r="F33">
        <v>6000</v>
      </c>
      <c r="H33" t="s">
        <v>77</v>
      </c>
    </row>
    <row r="34" spans="1:8" hidden="1" x14ac:dyDescent="0.25">
      <c r="A34">
        <v>401</v>
      </c>
      <c r="B34" t="s">
        <v>30</v>
      </c>
      <c r="C34">
        <v>17</v>
      </c>
      <c r="D34">
        <v>1000</v>
      </c>
      <c r="E34">
        <v>6000</v>
      </c>
      <c r="F34">
        <v>6000</v>
      </c>
      <c r="H34" t="s">
        <v>76</v>
      </c>
    </row>
    <row r="35" spans="1:8" hidden="1" x14ac:dyDescent="0.25">
      <c r="A35">
        <v>401</v>
      </c>
      <c r="B35" t="s">
        <v>62</v>
      </c>
      <c r="C35">
        <v>7</v>
      </c>
      <c r="D35">
        <v>1000</v>
      </c>
      <c r="E35">
        <v>6000</v>
      </c>
      <c r="F35">
        <v>6000</v>
      </c>
      <c r="H35" t="s">
        <v>77</v>
      </c>
    </row>
    <row r="36" spans="1:8" hidden="1" x14ac:dyDescent="0.25">
      <c r="A36">
        <v>401</v>
      </c>
      <c r="B36" t="s">
        <v>32</v>
      </c>
      <c r="C36">
        <v>15</v>
      </c>
      <c r="D36">
        <v>1000</v>
      </c>
      <c r="E36">
        <v>6000</v>
      </c>
      <c r="F36">
        <v>7000</v>
      </c>
      <c r="H36" t="s">
        <v>76</v>
      </c>
    </row>
    <row r="37" spans="1:8" hidden="1" x14ac:dyDescent="0.25">
      <c r="A37">
        <v>401</v>
      </c>
      <c r="B37" t="s">
        <v>33</v>
      </c>
      <c r="C37">
        <v>4</v>
      </c>
      <c r="D37">
        <v>1000</v>
      </c>
      <c r="E37">
        <v>6000</v>
      </c>
      <c r="F37">
        <v>6000</v>
      </c>
      <c r="H37" t="s">
        <v>76</v>
      </c>
    </row>
    <row r="38" spans="1:8" hidden="1" x14ac:dyDescent="0.25">
      <c r="A38">
        <v>401</v>
      </c>
      <c r="B38" t="s">
        <v>34</v>
      </c>
      <c r="C38">
        <v>14</v>
      </c>
      <c r="D38">
        <v>1000</v>
      </c>
      <c r="E38">
        <v>6000</v>
      </c>
      <c r="F38">
        <v>6000</v>
      </c>
      <c r="H38" t="s">
        <v>76</v>
      </c>
    </row>
    <row r="39" spans="1:8" hidden="1" x14ac:dyDescent="0.25">
      <c r="A39">
        <v>401</v>
      </c>
      <c r="B39" t="s">
        <v>35</v>
      </c>
      <c r="C39">
        <v>20</v>
      </c>
      <c r="D39">
        <v>1000</v>
      </c>
      <c r="E39">
        <v>6000</v>
      </c>
      <c r="F39">
        <v>6000</v>
      </c>
      <c r="H39" t="s">
        <v>77</v>
      </c>
    </row>
    <row r="40" spans="1:8" hidden="1" x14ac:dyDescent="0.25">
      <c r="A40">
        <v>401</v>
      </c>
      <c r="B40" t="s">
        <v>36</v>
      </c>
      <c r="C40">
        <v>3</v>
      </c>
      <c r="D40">
        <v>1000</v>
      </c>
      <c r="E40">
        <v>6000</v>
      </c>
      <c r="F40">
        <v>7000</v>
      </c>
      <c r="H40" t="s">
        <v>76</v>
      </c>
    </row>
    <row r="41" spans="1:8" hidden="1" x14ac:dyDescent="0.25">
      <c r="A41">
        <v>402</v>
      </c>
      <c r="B41" t="s">
        <v>37</v>
      </c>
      <c r="C41">
        <v>20</v>
      </c>
      <c r="D41">
        <v>1000</v>
      </c>
      <c r="E41">
        <v>6000</v>
      </c>
      <c r="F41">
        <v>6000</v>
      </c>
      <c r="H41" t="s">
        <v>76</v>
      </c>
    </row>
    <row r="42" spans="1:8" hidden="1" x14ac:dyDescent="0.25">
      <c r="A42">
        <v>402</v>
      </c>
      <c r="B42" t="s">
        <v>38</v>
      </c>
      <c r="C42">
        <v>1</v>
      </c>
      <c r="D42">
        <v>0</v>
      </c>
      <c r="E42">
        <v>6000</v>
      </c>
      <c r="F42">
        <v>6000</v>
      </c>
      <c r="H42" t="s">
        <v>77</v>
      </c>
    </row>
    <row r="43" spans="1:8" hidden="1" x14ac:dyDescent="0.25">
      <c r="A43">
        <v>402</v>
      </c>
      <c r="B43" t="s">
        <v>39</v>
      </c>
      <c r="C43">
        <v>17</v>
      </c>
      <c r="D43">
        <v>1000</v>
      </c>
      <c r="E43">
        <v>6000</v>
      </c>
      <c r="F43">
        <v>6000</v>
      </c>
      <c r="H43" t="s">
        <v>76</v>
      </c>
    </row>
    <row r="44" spans="1:8" hidden="1" x14ac:dyDescent="0.25">
      <c r="A44">
        <v>402</v>
      </c>
      <c r="B44" t="s">
        <v>40</v>
      </c>
      <c r="C44">
        <v>1</v>
      </c>
      <c r="D44">
        <v>2000</v>
      </c>
      <c r="E44">
        <v>6000</v>
      </c>
      <c r="F44">
        <v>6000</v>
      </c>
      <c r="H44" t="s">
        <v>76</v>
      </c>
    </row>
    <row r="45" spans="1:8" hidden="1" x14ac:dyDescent="0.25">
      <c r="A45">
        <v>402</v>
      </c>
      <c r="B45" t="s">
        <v>41</v>
      </c>
      <c r="C45">
        <v>1</v>
      </c>
      <c r="D45">
        <v>0</v>
      </c>
      <c r="E45">
        <v>6000</v>
      </c>
      <c r="F45">
        <v>6000</v>
      </c>
      <c r="H45" t="s">
        <v>76</v>
      </c>
    </row>
    <row r="46" spans="1:8" hidden="1" x14ac:dyDescent="0.25">
      <c r="A46">
        <v>402</v>
      </c>
      <c r="B46" t="s">
        <v>68</v>
      </c>
      <c r="C46">
        <v>14</v>
      </c>
      <c r="D46">
        <v>1000</v>
      </c>
      <c r="E46">
        <v>6000</v>
      </c>
      <c r="F46">
        <v>7000</v>
      </c>
      <c r="H46" t="s">
        <v>77</v>
      </c>
    </row>
    <row r="47" spans="1:8" hidden="1" x14ac:dyDescent="0.25">
      <c r="A47">
        <v>402</v>
      </c>
      <c r="B47" t="s">
        <v>42</v>
      </c>
      <c r="C47">
        <v>1</v>
      </c>
      <c r="D47">
        <v>0</v>
      </c>
      <c r="E47">
        <v>6000</v>
      </c>
      <c r="F47">
        <v>3000</v>
      </c>
      <c r="H47" t="s">
        <v>76</v>
      </c>
    </row>
    <row r="48" spans="1:8" x14ac:dyDescent="0.25">
      <c r="A48">
        <v>501</v>
      </c>
      <c r="B48" t="s">
        <v>43</v>
      </c>
      <c r="C48">
        <v>1</v>
      </c>
      <c r="D48">
        <v>1000</v>
      </c>
      <c r="E48">
        <v>6500</v>
      </c>
      <c r="F48">
        <v>6500</v>
      </c>
      <c r="H48" t="s">
        <v>76</v>
      </c>
    </row>
    <row r="49" spans="1:9" x14ac:dyDescent="0.25">
      <c r="A49">
        <v>501</v>
      </c>
      <c r="B49" t="s">
        <v>44</v>
      </c>
      <c r="C49">
        <v>1</v>
      </c>
      <c r="D49">
        <v>0</v>
      </c>
      <c r="E49">
        <v>4500</v>
      </c>
      <c r="F49">
        <v>3600</v>
      </c>
      <c r="H49" t="s">
        <v>76</v>
      </c>
    </row>
    <row r="50" spans="1:9" x14ac:dyDescent="0.25">
      <c r="A50">
        <v>501</v>
      </c>
      <c r="B50" t="s">
        <v>45</v>
      </c>
      <c r="C50">
        <v>1</v>
      </c>
      <c r="D50">
        <v>0</v>
      </c>
      <c r="E50">
        <v>6000</v>
      </c>
      <c r="F50">
        <v>6000</v>
      </c>
      <c r="H50" t="s">
        <v>76</v>
      </c>
    </row>
    <row r="51" spans="1:9" x14ac:dyDescent="0.25">
      <c r="A51">
        <v>501</v>
      </c>
      <c r="B51" t="s">
        <v>46</v>
      </c>
      <c r="C51">
        <v>6</v>
      </c>
      <c r="D51">
        <v>1000</v>
      </c>
      <c r="E51">
        <v>6500</v>
      </c>
      <c r="F51">
        <v>6400</v>
      </c>
      <c r="H51" t="s">
        <v>77</v>
      </c>
    </row>
    <row r="52" spans="1:9" x14ac:dyDescent="0.25">
      <c r="A52">
        <v>501</v>
      </c>
      <c r="B52" t="s">
        <v>74</v>
      </c>
      <c r="C52">
        <v>2</v>
      </c>
      <c r="D52">
        <v>1000</v>
      </c>
      <c r="E52">
        <v>6000</v>
      </c>
      <c r="F52">
        <v>6500</v>
      </c>
      <c r="H52" t="s">
        <v>77</v>
      </c>
    </row>
    <row r="53" spans="1:9" s="5" customFormat="1" x14ac:dyDescent="0.25">
      <c r="A53" s="5">
        <v>501</v>
      </c>
      <c r="B53" s="5" t="s">
        <v>75</v>
      </c>
      <c r="C53" s="5">
        <v>31</v>
      </c>
      <c r="D53" s="5">
        <v>100</v>
      </c>
      <c r="E53" s="5">
        <v>6000</v>
      </c>
      <c r="F53" s="5">
        <v>1000</v>
      </c>
    </row>
    <row r="54" spans="1:9" x14ac:dyDescent="0.25">
      <c r="A54">
        <v>501</v>
      </c>
      <c r="B54" t="s">
        <v>47</v>
      </c>
      <c r="C54">
        <v>1</v>
      </c>
      <c r="D54">
        <v>0</v>
      </c>
      <c r="E54">
        <v>6000</v>
      </c>
      <c r="F54">
        <v>3000</v>
      </c>
      <c r="H54" t="s">
        <v>77</v>
      </c>
    </row>
    <row r="55" spans="1:9" hidden="1" x14ac:dyDescent="0.25">
      <c r="A55">
        <v>502</v>
      </c>
      <c r="B55" t="s">
        <v>50</v>
      </c>
      <c r="C55">
        <v>1</v>
      </c>
      <c r="D55">
        <v>1000</v>
      </c>
      <c r="E55">
        <v>6500</v>
      </c>
      <c r="F55">
        <v>6500</v>
      </c>
      <c r="H55" t="s">
        <v>77</v>
      </c>
    </row>
    <row r="56" spans="1:9" hidden="1" x14ac:dyDescent="0.25">
      <c r="A56">
        <v>502</v>
      </c>
      <c r="B56" t="s">
        <v>48</v>
      </c>
      <c r="C56">
        <v>1</v>
      </c>
      <c r="D56">
        <v>1000</v>
      </c>
      <c r="E56">
        <v>7500</v>
      </c>
      <c r="F56">
        <v>7500</v>
      </c>
      <c r="H56" t="s">
        <v>76</v>
      </c>
    </row>
    <row r="57" spans="1:9" hidden="1" x14ac:dyDescent="0.25">
      <c r="A57">
        <v>502</v>
      </c>
      <c r="B57" t="s">
        <v>63</v>
      </c>
      <c r="C57">
        <v>1</v>
      </c>
      <c r="D57">
        <v>1000</v>
      </c>
      <c r="E57">
        <v>6500</v>
      </c>
      <c r="F57">
        <v>6500</v>
      </c>
      <c r="H57" t="s">
        <v>76</v>
      </c>
    </row>
    <row r="58" spans="1:9" hidden="1" x14ac:dyDescent="0.25">
      <c r="A58">
        <v>502</v>
      </c>
      <c r="B58" t="s">
        <v>51</v>
      </c>
      <c r="C58">
        <v>1</v>
      </c>
      <c r="D58">
        <v>1000</v>
      </c>
      <c r="E58">
        <v>7500</v>
      </c>
      <c r="F58">
        <v>7500</v>
      </c>
      <c r="H58" t="s">
        <v>76</v>
      </c>
    </row>
    <row r="59" spans="1:9" hidden="1" x14ac:dyDescent="0.25">
      <c r="A59">
        <v>502</v>
      </c>
      <c r="B59" t="s">
        <v>52</v>
      </c>
      <c r="C59">
        <v>11</v>
      </c>
      <c r="D59">
        <v>1000</v>
      </c>
      <c r="E59">
        <v>6500</v>
      </c>
      <c r="F59">
        <v>7000</v>
      </c>
      <c r="H59" t="s">
        <v>77</v>
      </c>
      <c r="I59" t="s">
        <v>78</v>
      </c>
    </row>
    <row r="60" spans="1:9" hidden="1" x14ac:dyDescent="0.25">
      <c r="A60">
        <v>602</v>
      </c>
      <c r="B60" t="s">
        <v>54</v>
      </c>
      <c r="C60">
        <v>1</v>
      </c>
      <c r="D60">
        <v>0</v>
      </c>
      <c r="E60">
        <v>15000</v>
      </c>
      <c r="F60">
        <v>15000</v>
      </c>
      <c r="H60" t="s">
        <v>77</v>
      </c>
    </row>
    <row r="61" spans="1:9" hidden="1" x14ac:dyDescent="0.25">
      <c r="A61">
        <v>100</v>
      </c>
      <c r="B61" t="s">
        <v>59</v>
      </c>
      <c r="C61">
        <v>1</v>
      </c>
      <c r="D61">
        <v>0</v>
      </c>
      <c r="E61">
        <v>5000</v>
      </c>
      <c r="G61">
        <v>5000</v>
      </c>
    </row>
    <row r="62" spans="1:9" hidden="1" x14ac:dyDescent="0.25">
      <c r="A62">
        <v>701</v>
      </c>
      <c r="C62">
        <v>1</v>
      </c>
      <c r="D62">
        <v>1000</v>
      </c>
      <c r="E62">
        <v>6000</v>
      </c>
      <c r="F62">
        <v>1000</v>
      </c>
      <c r="H62" t="s">
        <v>76</v>
      </c>
    </row>
    <row r="63" spans="1:9" hidden="1" x14ac:dyDescent="0.25">
      <c r="A63">
        <v>701</v>
      </c>
      <c r="C63">
        <v>1</v>
      </c>
      <c r="D63">
        <v>1000</v>
      </c>
      <c r="E63">
        <v>6000</v>
      </c>
      <c r="F63">
        <v>1000</v>
      </c>
      <c r="H63" t="s">
        <v>76</v>
      </c>
    </row>
    <row r="64" spans="1:9" hidden="1" x14ac:dyDescent="0.25">
      <c r="A64">
        <v>701</v>
      </c>
      <c r="C64">
        <v>1</v>
      </c>
      <c r="D64">
        <v>1000</v>
      </c>
      <c r="E64">
        <v>6000</v>
      </c>
      <c r="F64">
        <v>1000</v>
      </c>
      <c r="H64" t="s">
        <v>76</v>
      </c>
    </row>
    <row r="65" spans="1:12" hidden="1" x14ac:dyDescent="0.25">
      <c r="A65">
        <v>701</v>
      </c>
      <c r="C65">
        <v>1</v>
      </c>
      <c r="D65">
        <v>1000</v>
      </c>
      <c r="E65">
        <v>6000</v>
      </c>
      <c r="F65">
        <v>1000</v>
      </c>
      <c r="H65" t="s">
        <v>76</v>
      </c>
    </row>
    <row r="66" spans="1:12" hidden="1" x14ac:dyDescent="0.25">
      <c r="A66">
        <v>701</v>
      </c>
      <c r="B66" t="s">
        <v>58</v>
      </c>
      <c r="E66">
        <v>4000</v>
      </c>
      <c r="F66">
        <v>4500</v>
      </c>
      <c r="H66" t="s">
        <v>76</v>
      </c>
    </row>
    <row r="68" spans="1:12" x14ac:dyDescent="0.25">
      <c r="F68">
        <f>SUM(F2:F66)</f>
        <v>369868</v>
      </c>
      <c r="G68">
        <f>SUM(G2:G66)</f>
        <v>14500</v>
      </c>
      <c r="H68">
        <f>F68+G68</f>
        <v>384368</v>
      </c>
    </row>
    <row r="69" spans="1:12" x14ac:dyDescent="0.25">
      <c r="E69" t="s">
        <v>69</v>
      </c>
      <c r="F69">
        <v>12500</v>
      </c>
    </row>
    <row r="70" spans="1:12" x14ac:dyDescent="0.25">
      <c r="E70" t="s">
        <v>70</v>
      </c>
      <c r="F70">
        <v>237000</v>
      </c>
      <c r="K70">
        <v>222000</v>
      </c>
      <c r="L70">
        <f>K70+15000</f>
        <v>237000</v>
      </c>
    </row>
    <row r="71" spans="1:12" x14ac:dyDescent="0.25">
      <c r="E71" t="s">
        <v>71</v>
      </c>
      <c r="F71">
        <v>104668</v>
      </c>
      <c r="I71">
        <f>F68-F72</f>
        <v>15700</v>
      </c>
    </row>
    <row r="72" spans="1:12" x14ac:dyDescent="0.25">
      <c r="F72">
        <f>SUM(F69:F71)</f>
        <v>354168</v>
      </c>
    </row>
    <row r="73" spans="1:12" x14ac:dyDescent="0.25">
      <c r="F73">
        <f>F68-F72</f>
        <v>15700</v>
      </c>
    </row>
  </sheetData>
  <autoFilter ref="A1:N66" xr:uid="{AF186221-521E-4F6E-8D57-2A6FEC58691C}">
    <filterColumn colId="0">
      <filters>
        <filter val="50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7EDE-E854-4A09-A299-376D12465246}">
  <dimension ref="A1:S23"/>
  <sheetViews>
    <sheetView tabSelected="1" topLeftCell="A8" workbookViewId="0">
      <selection activeCell="H14" sqref="H14"/>
    </sheetView>
  </sheetViews>
  <sheetFormatPr defaultRowHeight="15" x14ac:dyDescent="0.25"/>
  <cols>
    <col min="2" max="2" width="14.140625" bestFit="1" customWidth="1"/>
    <col min="3" max="3" width="12" bestFit="1" customWidth="1"/>
    <col min="4" max="4" width="11.28515625" bestFit="1" customWidth="1"/>
    <col min="7" max="7" width="12" bestFit="1" customWidth="1"/>
    <col min="10" max="10" width="11.28515625" bestFit="1" customWidth="1"/>
  </cols>
  <sheetData>
    <row r="1" spans="1:19" x14ac:dyDescent="0.25">
      <c r="C1" t="s">
        <v>81</v>
      </c>
      <c r="D1" t="s">
        <v>79</v>
      </c>
      <c r="E1" t="s">
        <v>80</v>
      </c>
    </row>
    <row r="2" spans="1:19" x14ac:dyDescent="0.25">
      <c r="A2" t="s">
        <v>79</v>
      </c>
      <c r="B2">
        <v>6500</v>
      </c>
    </row>
    <row r="3" spans="1:19" x14ac:dyDescent="0.25">
      <c r="A3" t="s">
        <v>80</v>
      </c>
      <c r="B3">
        <v>154368</v>
      </c>
      <c r="C3">
        <v>4968</v>
      </c>
      <c r="D3">
        <v>3000</v>
      </c>
    </row>
    <row r="4" spans="1:19" x14ac:dyDescent="0.25">
      <c r="A4" t="s">
        <v>71</v>
      </c>
      <c r="B4">
        <v>205600</v>
      </c>
      <c r="D4">
        <v>3000</v>
      </c>
    </row>
    <row r="6" spans="1:19" x14ac:dyDescent="0.25">
      <c r="B6">
        <f>B2+B3+B4+C3+D3+D4</f>
        <v>377436</v>
      </c>
      <c r="G6" s="9">
        <v>65140</v>
      </c>
      <c r="H6">
        <f>G6-2700</f>
        <v>62440</v>
      </c>
    </row>
    <row r="7" spans="1:19" x14ac:dyDescent="0.25">
      <c r="J7">
        <f>63060+700</f>
        <v>63760</v>
      </c>
    </row>
    <row r="9" spans="1:19" s="6" customFormat="1" x14ac:dyDescent="0.25">
      <c r="A9" s="7"/>
      <c r="B9" s="7" t="s">
        <v>89</v>
      </c>
      <c r="C9" s="7"/>
      <c r="D9" s="7" t="s">
        <v>85</v>
      </c>
      <c r="E9" s="7" t="s">
        <v>82</v>
      </c>
      <c r="F9" s="7" t="s">
        <v>85</v>
      </c>
      <c r="G9" s="7" t="s">
        <v>83</v>
      </c>
      <c r="H9" s="7" t="s">
        <v>85</v>
      </c>
      <c r="I9" s="7" t="s">
        <v>84</v>
      </c>
      <c r="J9" s="7" t="s">
        <v>101</v>
      </c>
      <c r="K9" s="7" t="s">
        <v>86</v>
      </c>
    </row>
    <row r="10" spans="1:19" x14ac:dyDescent="0.25">
      <c r="A10" s="8" t="s">
        <v>81</v>
      </c>
      <c r="B10" s="9">
        <v>206000</v>
      </c>
      <c r="C10" s="9"/>
      <c r="D10" s="9">
        <v>206000</v>
      </c>
      <c r="E10" s="9">
        <v>80500</v>
      </c>
      <c r="F10" s="9">
        <f>D10-E10</f>
        <v>125500</v>
      </c>
      <c r="G10" s="9">
        <v>62440</v>
      </c>
      <c r="H10" s="9">
        <f>F10-G10</f>
        <v>63060</v>
      </c>
      <c r="I10" s="9">
        <v>49000</v>
      </c>
      <c r="J10" s="9">
        <f>H10</f>
        <v>63060</v>
      </c>
      <c r="K10" s="9">
        <f>H10-I10</f>
        <v>14060</v>
      </c>
    </row>
    <row r="11" spans="1:19" x14ac:dyDescent="0.25">
      <c r="A11" s="8" t="s">
        <v>70</v>
      </c>
      <c r="B11" s="9">
        <f>151368+700+6000+1000</f>
        <v>159068</v>
      </c>
      <c r="C11" s="9"/>
      <c r="D11" s="9">
        <f>B11+E10</f>
        <v>239568</v>
      </c>
      <c r="E11" s="9"/>
      <c r="F11" s="9">
        <v>239568</v>
      </c>
      <c r="G11" s="9">
        <v>81579</v>
      </c>
      <c r="H11" s="9">
        <f>F11-G11</f>
        <v>157989</v>
      </c>
      <c r="I11" s="9">
        <v>125800</v>
      </c>
      <c r="J11" s="9">
        <f>H11</f>
        <v>157989</v>
      </c>
      <c r="K11" s="9">
        <f>H11-I11</f>
        <v>32189</v>
      </c>
      <c r="O11">
        <v>154368</v>
      </c>
      <c r="P11">
        <f>O11-3000</f>
        <v>151368</v>
      </c>
    </row>
    <row r="12" spans="1:19" x14ac:dyDescent="0.25">
      <c r="A12" s="8" t="s">
        <v>79</v>
      </c>
      <c r="B12" s="9">
        <v>9500</v>
      </c>
      <c r="C12" s="9"/>
      <c r="D12" s="9">
        <v>9500</v>
      </c>
      <c r="E12" s="9"/>
      <c r="F12" s="9">
        <v>9500</v>
      </c>
      <c r="G12" s="9">
        <v>9230</v>
      </c>
      <c r="H12" s="9">
        <f>F12-G12</f>
        <v>270</v>
      </c>
      <c r="I12" s="9"/>
      <c r="J12" s="9">
        <v>270</v>
      </c>
      <c r="K12" s="9"/>
    </row>
    <row r="13" spans="1:19" x14ac:dyDescent="0.25">
      <c r="D13">
        <f>B11+E10</f>
        <v>239568</v>
      </c>
    </row>
    <row r="14" spans="1:19" x14ac:dyDescent="0.25">
      <c r="G14">
        <f>G10+G11+G12</f>
        <v>153249</v>
      </c>
      <c r="H14" s="10">
        <f>H10+H11+H12</f>
        <v>221319</v>
      </c>
      <c r="K14" s="9">
        <f>I14-J14</f>
        <v>0</v>
      </c>
      <c r="N14">
        <v>210919</v>
      </c>
      <c r="O14">
        <v>6700</v>
      </c>
      <c r="P14">
        <v>7000</v>
      </c>
      <c r="Q14">
        <v>5000</v>
      </c>
      <c r="R14">
        <v>2700</v>
      </c>
      <c r="S14">
        <v>14500</v>
      </c>
    </row>
    <row r="15" spans="1:19" x14ac:dyDescent="0.25">
      <c r="J15" s="9"/>
    </row>
    <row r="16" spans="1:19" x14ac:dyDescent="0.25">
      <c r="K16">
        <v>1</v>
      </c>
    </row>
    <row r="17" spans="1:8" x14ac:dyDescent="0.25">
      <c r="H17" s="5">
        <f>J10+J11+J12</f>
        <v>221319</v>
      </c>
    </row>
    <row r="18" spans="1:8" x14ac:dyDescent="0.25">
      <c r="G18" t="s">
        <v>102</v>
      </c>
      <c r="H18">
        <v>3000</v>
      </c>
    </row>
    <row r="19" spans="1:8" x14ac:dyDescent="0.25">
      <c r="B19" s="7" t="s">
        <v>89</v>
      </c>
      <c r="C19" s="7" t="s">
        <v>83</v>
      </c>
      <c r="D19" t="s">
        <v>90</v>
      </c>
      <c r="H19">
        <f>H17+H18</f>
        <v>224319</v>
      </c>
    </row>
    <row r="20" spans="1:8" x14ac:dyDescent="0.25">
      <c r="A20" t="s">
        <v>71</v>
      </c>
      <c r="B20">
        <v>206000</v>
      </c>
      <c r="C20" s="9">
        <v>62440</v>
      </c>
      <c r="D20">
        <f>B20-C20</f>
        <v>143560</v>
      </c>
    </row>
    <row r="21" spans="1:8" x14ac:dyDescent="0.25">
      <c r="A21" t="s">
        <v>70</v>
      </c>
      <c r="B21" s="9">
        <v>151368</v>
      </c>
      <c r="C21" s="9">
        <v>81579</v>
      </c>
      <c r="D21">
        <f>B21-C21</f>
        <v>69789</v>
      </c>
    </row>
    <row r="22" spans="1:8" x14ac:dyDescent="0.25">
      <c r="A22" t="s">
        <v>69</v>
      </c>
      <c r="B22" s="9">
        <v>9500</v>
      </c>
      <c r="C22" s="9">
        <v>9230</v>
      </c>
      <c r="D22">
        <f>B22-C22</f>
        <v>270</v>
      </c>
    </row>
    <row r="23" spans="1:8" x14ac:dyDescent="0.25">
      <c r="D23">
        <v>213619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9339-4B0B-45D1-BC52-1E50B8E903D6}">
  <dimension ref="A1"/>
  <sheetViews>
    <sheetView workbookViewId="0">
      <selection activeCell="J11" sqref="J11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D1CA-40EB-4FF1-93FE-FEF212DC061E}">
  <dimension ref="A1:L9"/>
  <sheetViews>
    <sheetView workbookViewId="0">
      <selection activeCell="E17" sqref="A1:XFD1048576"/>
    </sheetView>
  </sheetViews>
  <sheetFormatPr defaultRowHeight="15" x14ac:dyDescent="0.25"/>
  <cols>
    <col min="4" max="4" width="14.28515625" bestFit="1" customWidth="1"/>
    <col min="9" max="9" width="18.28515625" bestFit="1" customWidth="1"/>
    <col min="10" max="10" width="18.28515625" customWidth="1"/>
  </cols>
  <sheetData>
    <row r="1" spans="1:12" x14ac:dyDescent="0.25">
      <c r="A1" s="1" t="s">
        <v>53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87</v>
      </c>
      <c r="H1" s="1" t="s">
        <v>88</v>
      </c>
      <c r="I1" s="1" t="s">
        <v>91</v>
      </c>
      <c r="J1" s="1" t="s">
        <v>92</v>
      </c>
      <c r="K1" s="1" t="s">
        <v>55</v>
      </c>
      <c r="L1" s="1" t="s">
        <v>56</v>
      </c>
    </row>
    <row r="2" spans="1:12" x14ac:dyDescent="0.25">
      <c r="A2">
        <v>1</v>
      </c>
      <c r="B2">
        <v>102</v>
      </c>
      <c r="C2" t="s">
        <v>3</v>
      </c>
      <c r="D2">
        <v>27</v>
      </c>
      <c r="E2">
        <v>1000</v>
      </c>
      <c r="F2">
        <v>6000</v>
      </c>
      <c r="K2">
        <v>6</v>
      </c>
      <c r="L2">
        <v>6</v>
      </c>
    </row>
    <row r="3" spans="1:12" x14ac:dyDescent="0.25">
      <c r="A3">
        <v>2</v>
      </c>
      <c r="B3">
        <v>102</v>
      </c>
      <c r="C3" t="s">
        <v>6</v>
      </c>
      <c r="D3">
        <v>1</v>
      </c>
      <c r="E3">
        <v>1000</v>
      </c>
      <c r="F3">
        <v>6000</v>
      </c>
    </row>
    <row r="4" spans="1:12" x14ac:dyDescent="0.25">
      <c r="A4">
        <v>3</v>
      </c>
      <c r="B4">
        <v>102</v>
      </c>
      <c r="C4" t="s">
        <v>7</v>
      </c>
      <c r="D4">
        <v>20</v>
      </c>
      <c r="E4">
        <v>1000</v>
      </c>
      <c r="F4">
        <v>6000</v>
      </c>
    </row>
    <row r="5" spans="1:12" x14ac:dyDescent="0.25">
      <c r="A5">
        <v>4</v>
      </c>
      <c r="B5">
        <v>102</v>
      </c>
      <c r="C5" t="s">
        <v>8</v>
      </c>
      <c r="D5">
        <v>27</v>
      </c>
      <c r="E5">
        <v>1000</v>
      </c>
      <c r="F5">
        <v>6000</v>
      </c>
    </row>
    <row r="6" spans="1:12" x14ac:dyDescent="0.25">
      <c r="A6">
        <v>5</v>
      </c>
      <c r="B6">
        <v>102</v>
      </c>
      <c r="C6" t="s">
        <v>12</v>
      </c>
      <c r="D6">
        <v>31</v>
      </c>
      <c r="E6">
        <v>2000</v>
      </c>
      <c r="F6">
        <v>6000</v>
      </c>
    </row>
    <row r="7" spans="1:12" x14ac:dyDescent="0.25">
      <c r="A7">
        <v>6</v>
      </c>
      <c r="B7">
        <v>102</v>
      </c>
      <c r="C7" t="s">
        <v>64</v>
      </c>
      <c r="D7">
        <v>31</v>
      </c>
      <c r="E7">
        <v>2000</v>
      </c>
      <c r="F7">
        <v>6000</v>
      </c>
    </row>
    <row r="8" spans="1:12" x14ac:dyDescent="0.25">
      <c r="A8">
        <v>7</v>
      </c>
      <c r="B8">
        <v>102</v>
      </c>
      <c r="C8" t="s">
        <v>65</v>
      </c>
      <c r="D8">
        <v>31</v>
      </c>
      <c r="E8">
        <v>2000</v>
      </c>
      <c r="F8">
        <v>6000</v>
      </c>
    </row>
    <row r="9" spans="1:12" x14ac:dyDescent="0.25">
      <c r="A9">
        <v>8</v>
      </c>
      <c r="B9">
        <v>102</v>
      </c>
      <c r="C9" t="s">
        <v>66</v>
      </c>
      <c r="D9">
        <v>31</v>
      </c>
      <c r="E9">
        <v>2000</v>
      </c>
      <c r="F9">
        <v>6000</v>
      </c>
      <c r="I9">
        <v>1000</v>
      </c>
      <c r="J9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001E-4921-4D56-A0DA-020B223990E8}">
  <dimension ref="A1:M9"/>
  <sheetViews>
    <sheetView workbookViewId="0">
      <selection activeCell="E15" sqref="A1:XFD1048576"/>
    </sheetView>
  </sheetViews>
  <sheetFormatPr defaultRowHeight="15" x14ac:dyDescent="0.25"/>
  <cols>
    <col min="4" max="4" width="14.28515625" bestFit="1" customWidth="1"/>
    <col min="9" max="9" width="18.28515625" bestFit="1" customWidth="1"/>
    <col min="10" max="10" width="12.140625" bestFit="1" customWidth="1"/>
  </cols>
  <sheetData>
    <row r="1" spans="1:13" x14ac:dyDescent="0.25">
      <c r="A1" s="1" t="s">
        <v>53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87</v>
      </c>
      <c r="H1" s="1" t="s">
        <v>88</v>
      </c>
      <c r="I1" s="1" t="s">
        <v>91</v>
      </c>
      <c r="J1" s="1" t="s">
        <v>92</v>
      </c>
      <c r="L1" s="1" t="s">
        <v>56</v>
      </c>
      <c r="M1" s="1" t="s">
        <v>55</v>
      </c>
    </row>
    <row r="2" spans="1:13" x14ac:dyDescent="0.25">
      <c r="A2">
        <v>1</v>
      </c>
      <c r="B2">
        <v>201</v>
      </c>
      <c r="C2" t="s">
        <v>9</v>
      </c>
      <c r="D2">
        <v>6</v>
      </c>
      <c r="E2">
        <v>1000</v>
      </c>
      <c r="F2">
        <v>6500</v>
      </c>
      <c r="L2">
        <v>6</v>
      </c>
      <c r="M2">
        <v>6</v>
      </c>
    </row>
    <row r="3" spans="1:13" x14ac:dyDescent="0.25">
      <c r="A3">
        <v>2</v>
      </c>
      <c r="B3">
        <v>201</v>
      </c>
      <c r="C3" t="s">
        <v>10</v>
      </c>
      <c r="D3">
        <v>8</v>
      </c>
      <c r="E3">
        <v>1000</v>
      </c>
      <c r="F3">
        <v>6500</v>
      </c>
      <c r="I3">
        <v>1500</v>
      </c>
      <c r="J3" t="s">
        <v>94</v>
      </c>
    </row>
    <row r="4" spans="1:13" x14ac:dyDescent="0.25">
      <c r="A4">
        <v>3</v>
      </c>
      <c r="B4">
        <v>201</v>
      </c>
      <c r="C4" t="s">
        <v>11</v>
      </c>
      <c r="D4">
        <v>1</v>
      </c>
      <c r="E4">
        <v>0</v>
      </c>
      <c r="F4">
        <v>6000</v>
      </c>
    </row>
    <row r="5" spans="1:13" x14ac:dyDescent="0.25">
      <c r="A5">
        <v>5</v>
      </c>
      <c r="B5">
        <v>201</v>
      </c>
      <c r="C5" t="s">
        <v>12</v>
      </c>
      <c r="D5">
        <v>1</v>
      </c>
      <c r="E5">
        <v>0</v>
      </c>
      <c r="F5">
        <v>6000</v>
      </c>
    </row>
    <row r="6" spans="1:13" x14ac:dyDescent="0.25">
      <c r="A6">
        <v>6</v>
      </c>
      <c r="B6">
        <v>201</v>
      </c>
    </row>
    <row r="7" spans="1:13" x14ac:dyDescent="0.25">
      <c r="A7">
        <v>7</v>
      </c>
      <c r="B7">
        <v>201</v>
      </c>
    </row>
    <row r="9" spans="1:13" x14ac:dyDescent="0.25">
      <c r="I9">
        <v>1000</v>
      </c>
      <c r="J9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DF40-1E02-4267-8856-21C34D411FC1}">
  <dimension ref="A1:M8"/>
  <sheetViews>
    <sheetView workbookViewId="0">
      <selection activeCell="E14" sqref="A1:XFD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11.42578125" bestFit="1" customWidth="1"/>
    <col min="4" max="4" width="14.28515625" bestFit="1" customWidth="1"/>
    <col min="5" max="5" width="8.5703125" bestFit="1" customWidth="1"/>
    <col min="6" max="6" width="5.28515625" bestFit="1" customWidth="1"/>
    <col min="9" max="9" width="18.28515625" bestFit="1" customWidth="1"/>
  </cols>
  <sheetData>
    <row r="1" spans="1:13" x14ac:dyDescent="0.25">
      <c r="A1" s="1" t="s">
        <v>53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87</v>
      </c>
      <c r="H1" s="1" t="s">
        <v>88</v>
      </c>
      <c r="I1" s="1" t="s">
        <v>91</v>
      </c>
      <c r="J1" s="1" t="s">
        <v>92</v>
      </c>
      <c r="L1" s="1" t="s">
        <v>57</v>
      </c>
      <c r="M1" s="1" t="s">
        <v>95</v>
      </c>
    </row>
    <row r="2" spans="1:13" x14ac:dyDescent="0.25">
      <c r="A2">
        <v>1</v>
      </c>
      <c r="B2">
        <v>202</v>
      </c>
      <c r="C2" t="s">
        <v>13</v>
      </c>
      <c r="D2">
        <v>15</v>
      </c>
      <c r="E2">
        <v>1000</v>
      </c>
      <c r="F2">
        <v>6500</v>
      </c>
      <c r="L2">
        <v>5</v>
      </c>
      <c r="M2">
        <v>5</v>
      </c>
    </row>
    <row r="3" spans="1:13" x14ac:dyDescent="0.25">
      <c r="A3">
        <v>2</v>
      </c>
      <c r="B3">
        <v>202</v>
      </c>
      <c r="C3" t="s">
        <v>14</v>
      </c>
      <c r="D3">
        <v>24</v>
      </c>
      <c r="E3">
        <v>2000</v>
      </c>
      <c r="F3">
        <v>7500</v>
      </c>
    </row>
    <row r="4" spans="1:13" x14ac:dyDescent="0.25">
      <c r="A4">
        <v>3</v>
      </c>
      <c r="B4">
        <v>202</v>
      </c>
      <c r="C4" t="s">
        <v>15</v>
      </c>
      <c r="D4">
        <v>24</v>
      </c>
      <c r="E4">
        <v>2000</v>
      </c>
      <c r="F4">
        <v>7500</v>
      </c>
    </row>
    <row r="5" spans="1:13" x14ac:dyDescent="0.25">
      <c r="A5">
        <v>4</v>
      </c>
      <c r="B5">
        <v>202</v>
      </c>
      <c r="C5" t="s">
        <v>16</v>
      </c>
      <c r="D5">
        <v>13</v>
      </c>
      <c r="E5">
        <v>1000</v>
      </c>
      <c r="F5">
        <v>6500</v>
      </c>
    </row>
    <row r="6" spans="1:13" x14ac:dyDescent="0.25">
      <c r="A6">
        <v>5</v>
      </c>
      <c r="B6">
        <v>202</v>
      </c>
      <c r="C6" t="s">
        <v>17</v>
      </c>
      <c r="D6">
        <v>25</v>
      </c>
      <c r="E6">
        <v>1000</v>
      </c>
      <c r="F6">
        <v>6500</v>
      </c>
    </row>
    <row r="7" spans="1:13" x14ac:dyDescent="0.25">
      <c r="A7">
        <v>6</v>
      </c>
    </row>
    <row r="8" spans="1:13" x14ac:dyDescent="0.25">
      <c r="A8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7264-1557-4994-A83C-1610E1C44F5B}">
  <dimension ref="A1:L7"/>
  <sheetViews>
    <sheetView workbookViewId="0">
      <selection activeCell="E15" sqref="A1:XFD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14.42578125" bestFit="1" customWidth="1"/>
    <col min="4" max="4" width="14.28515625" bestFit="1" customWidth="1"/>
    <col min="5" max="5" width="8.5703125" bestFit="1" customWidth="1"/>
    <col min="6" max="6" width="5.28515625" bestFit="1" customWidth="1"/>
    <col min="10" max="10" width="20.140625" bestFit="1" customWidth="1"/>
  </cols>
  <sheetData>
    <row r="1" spans="1:12" x14ac:dyDescent="0.25">
      <c r="A1" s="1" t="s">
        <v>53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87</v>
      </c>
      <c r="H1" s="1" t="s">
        <v>88</v>
      </c>
      <c r="I1" s="1" t="s">
        <v>91</v>
      </c>
      <c r="J1" s="1" t="s">
        <v>92</v>
      </c>
      <c r="K1" s="1" t="s">
        <v>55</v>
      </c>
      <c r="L1" s="1" t="s">
        <v>57</v>
      </c>
    </row>
    <row r="2" spans="1:12" x14ac:dyDescent="0.25">
      <c r="A2">
        <v>1</v>
      </c>
      <c r="B2">
        <v>301</v>
      </c>
      <c r="C2" t="s">
        <v>18</v>
      </c>
      <c r="D2">
        <v>1</v>
      </c>
      <c r="E2">
        <v>1000</v>
      </c>
      <c r="F2">
        <v>6000</v>
      </c>
      <c r="K2">
        <v>7</v>
      </c>
      <c r="L2">
        <v>7</v>
      </c>
    </row>
    <row r="3" spans="1:12" x14ac:dyDescent="0.25">
      <c r="A3">
        <v>2</v>
      </c>
      <c r="B3">
        <v>301</v>
      </c>
      <c r="C3" t="s">
        <v>19</v>
      </c>
      <c r="D3">
        <v>6</v>
      </c>
      <c r="E3">
        <v>1000</v>
      </c>
      <c r="F3">
        <v>6000</v>
      </c>
    </row>
    <row r="4" spans="1:12" x14ac:dyDescent="0.25">
      <c r="A4">
        <v>3</v>
      </c>
      <c r="B4">
        <v>301</v>
      </c>
      <c r="C4" t="s">
        <v>20</v>
      </c>
      <c r="D4">
        <v>24</v>
      </c>
      <c r="E4">
        <v>1000</v>
      </c>
      <c r="F4">
        <v>6000</v>
      </c>
    </row>
    <row r="5" spans="1:12" x14ac:dyDescent="0.25">
      <c r="A5">
        <v>5</v>
      </c>
      <c r="B5">
        <v>301</v>
      </c>
      <c r="C5" t="s">
        <v>22</v>
      </c>
      <c r="D5">
        <v>20</v>
      </c>
      <c r="E5">
        <v>0</v>
      </c>
      <c r="F5">
        <v>6000</v>
      </c>
    </row>
    <row r="6" spans="1:12" x14ac:dyDescent="0.25">
      <c r="A6">
        <v>6</v>
      </c>
      <c r="B6">
        <v>301</v>
      </c>
      <c r="C6" t="s">
        <v>96</v>
      </c>
      <c r="D6">
        <v>2</v>
      </c>
      <c r="E6">
        <v>2000</v>
      </c>
      <c r="F6">
        <v>6000</v>
      </c>
      <c r="J6" t="s">
        <v>97</v>
      </c>
    </row>
    <row r="7" spans="1:12" x14ac:dyDescent="0.25">
      <c r="A7">
        <v>7</v>
      </c>
      <c r="B7">
        <v>301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B960-5615-4003-8402-60CAE83B0F72}">
  <dimension ref="A1:M8"/>
  <sheetViews>
    <sheetView workbookViewId="0">
      <selection activeCell="C14" sqref="C14"/>
    </sheetView>
  </sheetViews>
  <sheetFormatPr defaultRowHeight="15" x14ac:dyDescent="0.25"/>
  <cols>
    <col min="2" max="2" width="9.28515625" bestFit="1" customWidth="1"/>
    <col min="3" max="3" width="14.85546875" bestFit="1" customWidth="1"/>
    <col min="4" max="4" width="14.28515625" bestFit="1" customWidth="1"/>
    <col min="5" max="5" width="8.5703125" bestFit="1" customWidth="1"/>
    <col min="6" max="6" width="5.28515625" bestFit="1" customWidth="1"/>
    <col min="10" max="10" width="20.140625" bestFit="1" customWidth="1"/>
  </cols>
  <sheetData>
    <row r="1" spans="1:13" x14ac:dyDescent="0.25">
      <c r="A1" s="1" t="s">
        <v>53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87</v>
      </c>
      <c r="H1" s="1" t="s">
        <v>88</v>
      </c>
      <c r="I1" s="1" t="s">
        <v>91</v>
      </c>
      <c r="J1" s="1" t="s">
        <v>92</v>
      </c>
      <c r="L1" s="1" t="s">
        <v>57</v>
      </c>
      <c r="M1" s="1" t="s">
        <v>95</v>
      </c>
    </row>
    <row r="2" spans="1:13" x14ac:dyDescent="0.25">
      <c r="A2">
        <v>1</v>
      </c>
      <c r="B2">
        <v>302</v>
      </c>
      <c r="C2" t="s">
        <v>23</v>
      </c>
      <c r="D2">
        <v>6</v>
      </c>
      <c r="E2">
        <v>1000</v>
      </c>
      <c r="F2">
        <v>6500</v>
      </c>
      <c r="H2" s="4"/>
      <c r="I2" s="4"/>
      <c r="L2">
        <v>7</v>
      </c>
      <c r="M2">
        <v>7</v>
      </c>
    </row>
    <row r="3" spans="1:13" x14ac:dyDescent="0.25">
      <c r="A3">
        <v>2</v>
      </c>
      <c r="B3">
        <v>302</v>
      </c>
      <c r="C3" t="s">
        <v>24</v>
      </c>
      <c r="D3">
        <v>11</v>
      </c>
      <c r="E3">
        <v>0</v>
      </c>
      <c r="F3">
        <v>6000</v>
      </c>
      <c r="J3" t="s">
        <v>97</v>
      </c>
    </row>
    <row r="4" spans="1:13" x14ac:dyDescent="0.25">
      <c r="A4">
        <v>3</v>
      </c>
      <c r="B4">
        <v>302</v>
      </c>
      <c r="C4" t="s">
        <v>25</v>
      </c>
      <c r="D4">
        <v>1</v>
      </c>
      <c r="E4">
        <v>0</v>
      </c>
      <c r="F4">
        <v>6000</v>
      </c>
      <c r="J4" t="s">
        <v>97</v>
      </c>
    </row>
    <row r="5" spans="1:13" x14ac:dyDescent="0.25">
      <c r="A5">
        <v>4</v>
      </c>
      <c r="B5">
        <v>302</v>
      </c>
      <c r="C5" t="s">
        <v>26</v>
      </c>
      <c r="D5">
        <v>1</v>
      </c>
      <c r="E5">
        <v>0</v>
      </c>
      <c r="F5">
        <v>6000</v>
      </c>
      <c r="J5" t="s">
        <v>97</v>
      </c>
    </row>
    <row r="6" spans="1:13" x14ac:dyDescent="0.25">
      <c r="A6">
        <v>5</v>
      </c>
      <c r="B6">
        <v>302</v>
      </c>
      <c r="C6" t="s">
        <v>27</v>
      </c>
      <c r="D6">
        <v>1</v>
      </c>
      <c r="E6">
        <v>0</v>
      </c>
      <c r="F6">
        <v>6000</v>
      </c>
      <c r="J6" t="s">
        <v>97</v>
      </c>
    </row>
    <row r="7" spans="1:13" x14ac:dyDescent="0.25">
      <c r="A7">
        <v>6</v>
      </c>
      <c r="B7">
        <v>302</v>
      </c>
      <c r="C7" t="s">
        <v>28</v>
      </c>
      <c r="D7">
        <v>7</v>
      </c>
      <c r="E7">
        <v>0</v>
      </c>
      <c r="F7">
        <v>6500</v>
      </c>
      <c r="J7" t="s">
        <v>97</v>
      </c>
    </row>
    <row r="8" spans="1:13" x14ac:dyDescent="0.25">
      <c r="A8">
        <v>7</v>
      </c>
      <c r="B8">
        <v>302</v>
      </c>
      <c r="C8" t="s">
        <v>29</v>
      </c>
      <c r="D8">
        <v>10</v>
      </c>
      <c r="E8">
        <v>0</v>
      </c>
      <c r="F8">
        <v>6000</v>
      </c>
      <c r="J8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E0F6-F305-4D0F-888B-F5466D9F8264}">
  <dimension ref="A1:M8"/>
  <sheetViews>
    <sheetView workbookViewId="0">
      <selection activeCell="D14" sqref="A1:XFD1048576"/>
    </sheetView>
  </sheetViews>
  <sheetFormatPr defaultRowHeight="15" x14ac:dyDescent="0.25"/>
  <cols>
    <col min="2" max="2" width="9.28515625" bestFit="1" customWidth="1"/>
    <col min="3" max="3" width="13.85546875" bestFit="1" customWidth="1"/>
    <col min="4" max="4" width="14.28515625" bestFit="1" customWidth="1"/>
    <col min="5" max="5" width="8.5703125" bestFit="1" customWidth="1"/>
    <col min="6" max="6" width="5.28515625" bestFit="1" customWidth="1"/>
  </cols>
  <sheetData>
    <row r="1" spans="1:13" x14ac:dyDescent="0.25">
      <c r="A1" s="1" t="s">
        <v>53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87</v>
      </c>
      <c r="H1" s="1" t="s">
        <v>88</v>
      </c>
      <c r="I1" s="1" t="s">
        <v>91</v>
      </c>
      <c r="J1" s="1" t="s">
        <v>92</v>
      </c>
      <c r="L1" s="1" t="s">
        <v>56</v>
      </c>
      <c r="M1" s="1" t="s">
        <v>55</v>
      </c>
    </row>
    <row r="2" spans="1:13" x14ac:dyDescent="0.25">
      <c r="A2">
        <v>1</v>
      </c>
      <c r="B2">
        <v>401</v>
      </c>
      <c r="C2" t="s">
        <v>30</v>
      </c>
      <c r="D2">
        <v>17</v>
      </c>
      <c r="E2">
        <v>1000</v>
      </c>
      <c r="F2">
        <v>6000</v>
      </c>
      <c r="H2" s="4"/>
      <c r="I2" s="4"/>
      <c r="L2">
        <v>7</v>
      </c>
      <c r="M2">
        <v>7</v>
      </c>
    </row>
    <row r="3" spans="1:13" x14ac:dyDescent="0.25">
      <c r="A3">
        <v>2</v>
      </c>
      <c r="B3">
        <v>401</v>
      </c>
      <c r="C3" t="s">
        <v>31</v>
      </c>
      <c r="D3">
        <v>7</v>
      </c>
      <c r="E3">
        <v>1000</v>
      </c>
      <c r="F3">
        <v>6000</v>
      </c>
    </row>
    <row r="4" spans="1:13" x14ac:dyDescent="0.25">
      <c r="A4">
        <v>3</v>
      </c>
      <c r="B4">
        <v>401</v>
      </c>
      <c r="C4" t="s">
        <v>32</v>
      </c>
      <c r="D4">
        <v>15</v>
      </c>
      <c r="E4">
        <v>1000</v>
      </c>
      <c r="F4">
        <v>6000</v>
      </c>
    </row>
    <row r="5" spans="1:13" x14ac:dyDescent="0.25">
      <c r="A5">
        <v>4</v>
      </c>
      <c r="B5">
        <v>401</v>
      </c>
      <c r="C5" t="s">
        <v>33</v>
      </c>
      <c r="D5">
        <v>4</v>
      </c>
      <c r="E5">
        <v>1000</v>
      </c>
      <c r="F5">
        <v>6000</v>
      </c>
    </row>
    <row r="6" spans="1:13" x14ac:dyDescent="0.25">
      <c r="A6">
        <v>5</v>
      </c>
      <c r="B6">
        <v>401</v>
      </c>
      <c r="C6" t="s">
        <v>34</v>
      </c>
      <c r="D6">
        <v>14</v>
      </c>
      <c r="E6">
        <v>1000</v>
      </c>
      <c r="F6">
        <v>6000</v>
      </c>
    </row>
    <row r="7" spans="1:13" x14ac:dyDescent="0.25">
      <c r="A7">
        <v>6</v>
      </c>
      <c r="B7">
        <v>401</v>
      </c>
      <c r="C7" t="s">
        <v>35</v>
      </c>
      <c r="D7">
        <v>20</v>
      </c>
      <c r="E7">
        <v>1000</v>
      </c>
      <c r="F7">
        <v>6000</v>
      </c>
    </row>
    <row r="8" spans="1:13" x14ac:dyDescent="0.25">
      <c r="A8">
        <v>7</v>
      </c>
      <c r="B8">
        <v>401</v>
      </c>
      <c r="C8" t="s">
        <v>36</v>
      </c>
      <c r="D8">
        <v>3</v>
      </c>
      <c r="E8">
        <v>1000</v>
      </c>
      <c r="F8">
        <v>6000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8456-0BED-4C66-BECF-1981102EB2FD}">
  <dimension ref="A1:M7"/>
  <sheetViews>
    <sheetView workbookViewId="0">
      <selection activeCell="D12" sqref="A1:XFD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10.5703125" bestFit="1" customWidth="1"/>
    <col min="4" max="4" width="14.28515625" bestFit="1" customWidth="1"/>
    <col min="5" max="5" width="8.5703125" bestFit="1" customWidth="1"/>
    <col min="6" max="6" width="5.28515625" bestFit="1" customWidth="1"/>
    <col min="7" max="7" width="7.7109375" bestFit="1" customWidth="1"/>
    <col min="8" max="8" width="7.140625" style="1" bestFit="1" customWidth="1"/>
    <col min="9" max="9" width="18.28515625" style="1" bestFit="1" customWidth="1"/>
    <col min="10" max="10" width="20.5703125" style="1" bestFit="1" customWidth="1"/>
    <col min="12" max="12" width="5.42578125" bestFit="1" customWidth="1"/>
    <col min="13" max="13" width="4.85546875" bestFit="1" customWidth="1"/>
  </cols>
  <sheetData>
    <row r="1" spans="1:13" x14ac:dyDescent="0.25">
      <c r="A1" s="1" t="s">
        <v>53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87</v>
      </c>
      <c r="H1" s="1" t="s">
        <v>88</v>
      </c>
      <c r="I1" s="1" t="s">
        <v>91</v>
      </c>
      <c r="J1" s="1" t="s">
        <v>92</v>
      </c>
      <c r="L1" s="3" t="s">
        <v>55</v>
      </c>
      <c r="M1" s="3" t="s">
        <v>57</v>
      </c>
    </row>
    <row r="2" spans="1:13" x14ac:dyDescent="0.25">
      <c r="A2">
        <v>1</v>
      </c>
      <c r="B2">
        <v>402</v>
      </c>
      <c r="C2" t="s">
        <v>37</v>
      </c>
      <c r="D2">
        <v>20</v>
      </c>
      <c r="E2">
        <v>1000</v>
      </c>
      <c r="F2">
        <v>6500</v>
      </c>
      <c r="I2">
        <v>3400</v>
      </c>
      <c r="J2" s="11" t="s">
        <v>98</v>
      </c>
      <c r="L2" s="4">
        <v>7</v>
      </c>
      <c r="M2" s="4">
        <v>7</v>
      </c>
    </row>
    <row r="3" spans="1:13" x14ac:dyDescent="0.25">
      <c r="A3">
        <v>2</v>
      </c>
      <c r="B3">
        <v>402</v>
      </c>
      <c r="C3" t="s">
        <v>38</v>
      </c>
      <c r="D3">
        <v>1</v>
      </c>
      <c r="E3">
        <v>1000</v>
      </c>
      <c r="F3">
        <v>6000</v>
      </c>
      <c r="J3" s="11" t="s">
        <v>97</v>
      </c>
    </row>
    <row r="4" spans="1:13" x14ac:dyDescent="0.25">
      <c r="A4">
        <v>3</v>
      </c>
      <c r="B4">
        <v>402</v>
      </c>
      <c r="C4" t="s">
        <v>39</v>
      </c>
      <c r="D4">
        <v>17</v>
      </c>
      <c r="E4">
        <v>1000</v>
      </c>
      <c r="F4">
        <v>6500</v>
      </c>
    </row>
    <row r="5" spans="1:13" x14ac:dyDescent="0.25">
      <c r="A5">
        <v>4</v>
      </c>
      <c r="B5">
        <v>402</v>
      </c>
      <c r="C5" t="s">
        <v>40</v>
      </c>
      <c r="D5">
        <v>1</v>
      </c>
      <c r="E5">
        <v>2000</v>
      </c>
      <c r="F5">
        <v>6000</v>
      </c>
    </row>
    <row r="6" spans="1:13" x14ac:dyDescent="0.25">
      <c r="A6">
        <v>5</v>
      </c>
      <c r="B6">
        <v>402</v>
      </c>
      <c r="C6" t="s">
        <v>41</v>
      </c>
      <c r="D6">
        <v>1</v>
      </c>
      <c r="E6">
        <v>1000</v>
      </c>
      <c r="F6">
        <v>6000</v>
      </c>
      <c r="J6" s="11" t="s">
        <v>97</v>
      </c>
    </row>
    <row r="7" spans="1:13" x14ac:dyDescent="0.25">
      <c r="A7">
        <v>6</v>
      </c>
      <c r="B7">
        <v>402</v>
      </c>
      <c r="C7" t="s">
        <v>68</v>
      </c>
      <c r="D7">
        <v>14</v>
      </c>
      <c r="E7">
        <v>1000</v>
      </c>
      <c r="F7">
        <v>6000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8CD6-D1B0-4158-8FF4-C9745E252D50}">
  <dimension ref="A1:M7"/>
  <sheetViews>
    <sheetView workbookViewId="0">
      <selection activeCell="D10" sqref="A1:XFD1048576"/>
    </sheetView>
  </sheetViews>
  <sheetFormatPr defaultRowHeight="15" x14ac:dyDescent="0.25"/>
  <cols>
    <col min="2" max="2" width="9.28515625" bestFit="1" customWidth="1"/>
    <col min="3" max="3" width="13.85546875" bestFit="1" customWidth="1"/>
    <col min="4" max="4" width="14.28515625" bestFit="1" customWidth="1"/>
    <col min="5" max="5" width="8.5703125" bestFit="1" customWidth="1"/>
    <col min="6" max="6" width="5.28515625" bestFit="1" customWidth="1"/>
    <col min="9" max="9" width="18.28515625" bestFit="1" customWidth="1"/>
    <col min="10" max="10" width="20.140625" bestFit="1" customWidth="1"/>
  </cols>
  <sheetData>
    <row r="1" spans="1:13" x14ac:dyDescent="0.25">
      <c r="A1" s="1" t="s">
        <v>53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87</v>
      </c>
      <c r="H1" s="1" t="s">
        <v>88</v>
      </c>
      <c r="I1" s="1" t="s">
        <v>91</v>
      </c>
      <c r="J1" s="1" t="s">
        <v>92</v>
      </c>
      <c r="L1" s="1" t="s">
        <v>95</v>
      </c>
      <c r="M1" s="1" t="s">
        <v>57</v>
      </c>
    </row>
    <row r="2" spans="1:13" x14ac:dyDescent="0.25">
      <c r="A2">
        <v>1</v>
      </c>
      <c r="B2">
        <v>501</v>
      </c>
      <c r="C2" t="s">
        <v>43</v>
      </c>
      <c r="D2">
        <v>1</v>
      </c>
      <c r="E2">
        <v>1000</v>
      </c>
      <c r="F2">
        <v>6500</v>
      </c>
      <c r="H2" s="4"/>
      <c r="I2" s="4"/>
      <c r="L2">
        <v>4</v>
      </c>
      <c r="M2">
        <v>7</v>
      </c>
    </row>
    <row r="3" spans="1:13" x14ac:dyDescent="0.25">
      <c r="A3">
        <v>2</v>
      </c>
      <c r="B3">
        <v>501</v>
      </c>
      <c r="C3" t="s">
        <v>44</v>
      </c>
      <c r="D3">
        <v>1</v>
      </c>
      <c r="E3">
        <v>1000</v>
      </c>
      <c r="F3">
        <v>4500</v>
      </c>
      <c r="J3" s="11" t="s">
        <v>97</v>
      </c>
    </row>
    <row r="4" spans="1:13" x14ac:dyDescent="0.25">
      <c r="A4">
        <v>3</v>
      </c>
      <c r="B4">
        <v>501</v>
      </c>
      <c r="C4" t="s">
        <v>45</v>
      </c>
      <c r="D4">
        <v>1</v>
      </c>
      <c r="E4">
        <v>1000</v>
      </c>
      <c r="F4">
        <v>6000</v>
      </c>
      <c r="J4" s="11" t="s">
        <v>97</v>
      </c>
    </row>
    <row r="5" spans="1:13" x14ac:dyDescent="0.25">
      <c r="A5">
        <v>4</v>
      </c>
      <c r="B5">
        <v>501</v>
      </c>
      <c r="C5" t="s">
        <v>46</v>
      </c>
      <c r="D5">
        <v>6</v>
      </c>
      <c r="E5">
        <v>1000</v>
      </c>
      <c r="F5">
        <v>6500</v>
      </c>
    </row>
    <row r="6" spans="1:13" x14ac:dyDescent="0.25">
      <c r="A6">
        <v>5</v>
      </c>
      <c r="B6">
        <v>501</v>
      </c>
      <c r="C6" t="s">
        <v>99</v>
      </c>
      <c r="D6">
        <v>31</v>
      </c>
      <c r="E6">
        <v>1000</v>
      </c>
      <c r="F6">
        <v>6000</v>
      </c>
    </row>
    <row r="7" spans="1:13" x14ac:dyDescent="0.25">
      <c r="A7">
        <v>6</v>
      </c>
      <c r="B7">
        <v>501</v>
      </c>
      <c r="C7" t="s">
        <v>100</v>
      </c>
      <c r="D7">
        <v>2</v>
      </c>
      <c r="E7">
        <v>1000</v>
      </c>
      <c r="F7">
        <v>6000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F581D-DC39-4373-AF2E-C928D4974365}">
  <dimension ref="A1:N8"/>
  <sheetViews>
    <sheetView workbookViewId="0">
      <selection activeCell="C7" sqref="A1:J8"/>
    </sheetView>
  </sheetViews>
  <sheetFormatPr defaultRowHeight="15" x14ac:dyDescent="0.25"/>
  <cols>
    <col min="2" max="2" width="9.28515625" bestFit="1" customWidth="1"/>
    <col min="3" max="3" width="16.7109375" bestFit="1" customWidth="1"/>
    <col min="4" max="4" width="14.28515625" bestFit="1" customWidth="1"/>
    <col min="5" max="5" width="8.5703125" bestFit="1" customWidth="1"/>
    <col min="6" max="6" width="5.28515625" bestFit="1" customWidth="1"/>
    <col min="9" max="9" width="18.28515625" bestFit="1" customWidth="1"/>
    <col min="10" max="10" width="20.140625" bestFit="1" customWidth="1"/>
  </cols>
  <sheetData>
    <row r="1" spans="1:14" x14ac:dyDescent="0.25">
      <c r="A1" s="1" t="s">
        <v>53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87</v>
      </c>
      <c r="H1" s="1" t="s">
        <v>88</v>
      </c>
      <c r="I1" s="1" t="s">
        <v>91</v>
      </c>
      <c r="J1" s="1" t="s">
        <v>92</v>
      </c>
      <c r="M1" s="3" t="s">
        <v>55</v>
      </c>
      <c r="N1" s="3" t="s">
        <v>57</v>
      </c>
    </row>
    <row r="2" spans="1:14" x14ac:dyDescent="0.25">
      <c r="A2">
        <v>1</v>
      </c>
      <c r="B2">
        <v>502</v>
      </c>
      <c r="C2" t="s">
        <v>48</v>
      </c>
      <c r="D2">
        <v>1</v>
      </c>
      <c r="E2">
        <v>1000</v>
      </c>
      <c r="F2">
        <v>7500</v>
      </c>
      <c r="M2" s="4">
        <v>5</v>
      </c>
      <c r="N2" s="4">
        <v>5</v>
      </c>
    </row>
    <row r="3" spans="1:14" x14ac:dyDescent="0.25">
      <c r="A3">
        <v>2</v>
      </c>
      <c r="B3">
        <v>502</v>
      </c>
      <c r="C3" t="s">
        <v>49</v>
      </c>
      <c r="D3">
        <v>3</v>
      </c>
      <c r="E3">
        <v>1000</v>
      </c>
      <c r="F3">
        <v>6500</v>
      </c>
    </row>
    <row r="4" spans="1:14" x14ac:dyDescent="0.25">
      <c r="A4">
        <v>3</v>
      </c>
      <c r="B4">
        <v>502</v>
      </c>
      <c r="C4" t="s">
        <v>50</v>
      </c>
      <c r="D4">
        <v>1</v>
      </c>
      <c r="E4">
        <v>1000</v>
      </c>
      <c r="F4">
        <v>6500</v>
      </c>
    </row>
    <row r="5" spans="1:14" x14ac:dyDescent="0.25">
      <c r="A5">
        <v>4</v>
      </c>
      <c r="B5">
        <v>502</v>
      </c>
      <c r="C5" t="s">
        <v>51</v>
      </c>
      <c r="D5">
        <v>1</v>
      </c>
      <c r="E5">
        <v>1000</v>
      </c>
      <c r="F5">
        <v>7500</v>
      </c>
    </row>
    <row r="6" spans="1:14" x14ac:dyDescent="0.25">
      <c r="A6">
        <v>5</v>
      </c>
      <c r="B6">
        <v>502</v>
      </c>
      <c r="C6" t="s">
        <v>52</v>
      </c>
      <c r="D6">
        <v>11</v>
      </c>
      <c r="E6">
        <v>1000</v>
      </c>
      <c r="F6">
        <v>6500</v>
      </c>
    </row>
    <row r="7" spans="1:14" x14ac:dyDescent="0.25">
      <c r="A7">
        <v>6</v>
      </c>
      <c r="B7">
        <v>502</v>
      </c>
    </row>
    <row r="8" spans="1:14" x14ac:dyDescent="0.25">
      <c r="A8">
        <v>7</v>
      </c>
      <c r="B8">
        <v>502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2596-3CE5-4FFC-87FE-97860354429D}">
  <dimension ref="A1:J8"/>
  <sheetViews>
    <sheetView workbookViewId="0">
      <selection activeCell="I7" sqref="I7"/>
    </sheetView>
  </sheetViews>
  <sheetFormatPr defaultRowHeight="15" x14ac:dyDescent="0.25"/>
  <cols>
    <col min="2" max="2" width="9.28515625" bestFit="1" customWidth="1"/>
    <col min="3" max="3" width="12.7109375" bestFit="1" customWidth="1"/>
    <col min="4" max="4" width="14.28515625" bestFit="1" customWidth="1"/>
    <col min="5" max="5" width="8.5703125" bestFit="1" customWidth="1"/>
    <col min="6" max="6" width="6" bestFit="1" customWidth="1"/>
    <col min="9" max="9" width="18.28515625" bestFit="1" customWidth="1"/>
  </cols>
  <sheetData>
    <row r="1" spans="1:10" x14ac:dyDescent="0.25">
      <c r="A1" s="1" t="s">
        <v>53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87</v>
      </c>
      <c r="H1" s="1" t="s">
        <v>88</v>
      </c>
      <c r="I1" s="1" t="s">
        <v>91</v>
      </c>
      <c r="J1" s="1" t="s">
        <v>92</v>
      </c>
    </row>
    <row r="2" spans="1:10" x14ac:dyDescent="0.25">
      <c r="A2">
        <v>1</v>
      </c>
      <c r="B2">
        <v>602</v>
      </c>
      <c r="C2" t="s">
        <v>54</v>
      </c>
      <c r="D2" s="2">
        <v>45870</v>
      </c>
      <c r="E2">
        <v>0</v>
      </c>
      <c r="F2">
        <v>15000</v>
      </c>
    </row>
    <row r="3" spans="1:10" x14ac:dyDescent="0.25">
      <c r="A3">
        <v>2</v>
      </c>
    </row>
    <row r="4" spans="1:10" x14ac:dyDescent="0.25">
      <c r="A4">
        <v>3</v>
      </c>
    </row>
    <row r="5" spans="1:10" x14ac:dyDescent="0.25">
      <c r="A5">
        <v>4</v>
      </c>
    </row>
    <row r="6" spans="1:10" x14ac:dyDescent="0.25">
      <c r="A6">
        <v>5</v>
      </c>
    </row>
    <row r="7" spans="1:10" x14ac:dyDescent="0.25">
      <c r="A7">
        <v>6</v>
      </c>
    </row>
    <row r="8" spans="1:10" x14ac:dyDescent="0.25">
      <c r="A8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5BFA-2FB1-4D54-A4CA-27C0F43C0F79}">
  <dimension ref="A1:N8"/>
  <sheetViews>
    <sheetView workbookViewId="0">
      <selection activeCell="H15" sqref="H15"/>
    </sheetView>
  </sheetViews>
  <sheetFormatPr defaultRowHeight="15" x14ac:dyDescent="0.25"/>
  <cols>
    <col min="2" max="2" width="9.28515625" bestFit="1" customWidth="1"/>
    <col min="3" max="3" width="20.42578125" customWidth="1"/>
    <col min="4" max="4" width="14.28515625" bestFit="1" customWidth="1"/>
    <col min="5" max="5" width="8.5703125" bestFit="1" customWidth="1"/>
    <col min="6" max="6" width="5.28515625" bestFit="1" customWidth="1"/>
    <col min="9" max="9" width="18.28515625" bestFit="1" customWidth="1"/>
  </cols>
  <sheetData>
    <row r="1" spans="1:14" x14ac:dyDescent="0.25">
      <c r="A1" s="1" t="s">
        <v>53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4</v>
      </c>
      <c r="G1" s="3" t="s">
        <v>87</v>
      </c>
      <c r="H1" s="3" t="s">
        <v>88</v>
      </c>
      <c r="I1" s="3" t="s">
        <v>91</v>
      </c>
      <c r="J1" s="3" t="s">
        <v>92</v>
      </c>
      <c r="M1" s="3" t="s">
        <v>55</v>
      </c>
      <c r="N1" s="3" t="s">
        <v>57</v>
      </c>
    </row>
    <row r="2" spans="1:14" x14ac:dyDescent="0.25">
      <c r="A2">
        <v>1</v>
      </c>
      <c r="B2">
        <v>701</v>
      </c>
      <c r="D2">
        <v>1</v>
      </c>
      <c r="E2">
        <v>1000</v>
      </c>
      <c r="F2">
        <v>6000</v>
      </c>
      <c r="I2" s="4"/>
      <c r="J2" s="4"/>
    </row>
    <row r="3" spans="1:14" x14ac:dyDescent="0.25">
      <c r="A3">
        <v>2</v>
      </c>
      <c r="B3">
        <v>701</v>
      </c>
      <c r="D3">
        <v>1</v>
      </c>
      <c r="E3">
        <v>1000</v>
      </c>
      <c r="F3">
        <v>6000</v>
      </c>
    </row>
    <row r="4" spans="1:14" x14ac:dyDescent="0.25">
      <c r="A4">
        <v>3</v>
      </c>
      <c r="B4">
        <v>701</v>
      </c>
      <c r="D4">
        <v>1</v>
      </c>
      <c r="E4">
        <v>1000</v>
      </c>
      <c r="F4">
        <v>6000</v>
      </c>
    </row>
    <row r="5" spans="1:14" x14ac:dyDescent="0.25">
      <c r="A5">
        <v>4</v>
      </c>
      <c r="B5">
        <v>701</v>
      </c>
      <c r="D5">
        <v>1</v>
      </c>
      <c r="E5">
        <v>1000</v>
      </c>
      <c r="F5">
        <v>6000</v>
      </c>
    </row>
    <row r="6" spans="1:14" x14ac:dyDescent="0.25">
      <c r="A6">
        <v>5</v>
      </c>
      <c r="B6">
        <v>701</v>
      </c>
    </row>
    <row r="7" spans="1:14" x14ac:dyDescent="0.25">
      <c r="A7">
        <v>6</v>
      </c>
      <c r="B7">
        <v>701</v>
      </c>
    </row>
    <row r="8" spans="1:14" x14ac:dyDescent="0.25">
      <c r="A8">
        <v>7</v>
      </c>
      <c r="B8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 Data</vt:lpstr>
      <vt:lpstr>Aug summary</vt:lpstr>
      <vt:lpstr>sep</vt:lpstr>
      <vt:lpstr>102</vt:lpstr>
      <vt:lpstr>201</vt:lpstr>
      <vt:lpstr>202</vt:lpstr>
      <vt:lpstr>301</vt:lpstr>
      <vt:lpstr>302</vt:lpstr>
      <vt:lpstr>401</vt:lpstr>
      <vt:lpstr>402</vt:lpstr>
      <vt:lpstr>501</vt:lpstr>
      <vt:lpstr>502</vt:lpstr>
      <vt:lpstr>602</vt:lpstr>
      <vt:lpstr>701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Balaji Raju</dc:creator>
  <cp:lastModifiedBy>K Balaji Raju</cp:lastModifiedBy>
  <dcterms:created xsi:type="dcterms:W3CDTF">2025-08-11T15:49:23Z</dcterms:created>
  <dcterms:modified xsi:type="dcterms:W3CDTF">2025-09-08T06:51:28Z</dcterms:modified>
</cp:coreProperties>
</file>